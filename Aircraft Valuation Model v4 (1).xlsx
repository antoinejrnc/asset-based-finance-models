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3578D69E2B6B6573/Documents/"/>
    </mc:Choice>
  </mc:AlternateContent>
  <xr:revisionPtr revIDLastSave="2" documentId="8_{6E489AA2-D11C-4BC9-84B3-EE2778CA26B6}" xr6:coauthVersionLast="47" xr6:coauthVersionMax="47" xr10:uidLastSave="{7B87317D-1F38-4060-95DB-422DB89F9334}"/>
  <bookViews>
    <workbookView xWindow="-120" yWindow="-120" windowWidth="29040" windowHeight="15720" xr2:uid="{00000000-000D-0000-FFFF-FFFF00000000}"/>
  </bookViews>
  <sheets>
    <sheet name="Cover" sheetId="1" r:id="rId1"/>
    <sheet name="Assumptions" sheetId="2" r:id="rId2"/>
    <sheet name="Sensitivity Tables" sheetId="19" r:id="rId3"/>
    <sheet name="Scenarios" sheetId="3" r:id="rId4"/>
    <sheet name="Base_Value" sheetId="4" r:id="rId5"/>
    <sheet name="Market_Value" sheetId="5" r:id="rId6"/>
    <sheet name="LRF-Model" sheetId="6" r:id="rId7"/>
    <sheet name="Cashflow" sheetId="7" r:id="rId8"/>
    <sheet name="WACC" sheetId="8" r:id="rId9"/>
    <sheet name="DCF" sheetId="9" r:id="rId10"/>
    <sheet name="Summary" sheetId="10" r:id="rId11"/>
    <sheet name="Graphs" sheetId="11" r:id="rId12"/>
    <sheet name="Helping Table" sheetId="12" state="hidden" r:id="rId13"/>
    <sheet name="Valuation Summary" sheetId="20"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9" l="1"/>
  <c r="F21" i="19"/>
  <c r="F22" i="19"/>
  <c r="F23" i="19"/>
  <c r="F24" i="19"/>
  <c r="F20" i="19"/>
  <c r="B9" i="19"/>
  <c r="D8" i="19"/>
  <c r="D9" i="19" s="1"/>
  <c r="E8" i="19"/>
  <c r="E9" i="19" s="1"/>
  <c r="F8" i="19"/>
  <c r="F9" i="19" s="1"/>
  <c r="G8" i="19"/>
  <c r="G9" i="19" s="1"/>
  <c r="H8" i="19"/>
  <c r="H9" i="19" s="1"/>
  <c r="I8" i="19"/>
  <c r="I9" i="19" s="1"/>
  <c r="J8" i="19"/>
  <c r="J9" i="19" s="1"/>
  <c r="K8" i="19"/>
  <c r="K9" i="19" s="1"/>
  <c r="L8" i="19"/>
  <c r="L9" i="19" s="1"/>
  <c r="M8" i="19"/>
  <c r="M9" i="19" s="1"/>
  <c r="N8" i="19"/>
  <c r="N9" i="19" s="1"/>
  <c r="C8" i="19"/>
  <c r="C9" i="19" s="1"/>
  <c r="C4" i="19"/>
  <c r="B7" i="19" a="1"/>
  <c r="B7" i="19" s="1"/>
  <c r="B2" i="19" a="1"/>
  <c r="B2" i="19" s="1"/>
  <c r="B5" i="9"/>
  <c r="B4" i="9"/>
  <c r="C35" i="7"/>
  <c r="C36" i="7"/>
  <c r="C37" i="7"/>
  <c r="C38" i="7"/>
  <c r="C39" i="7"/>
  <c r="C40" i="7"/>
  <c r="C41" i="7"/>
  <c r="C42" i="7"/>
  <c r="C43" i="7"/>
  <c r="C44" i="7"/>
  <c r="C45" i="7"/>
  <c r="C46" i="7"/>
  <c r="C34" i="7"/>
  <c r="C20" i="7"/>
  <c r="C21" i="7"/>
  <c r="C22" i="7"/>
  <c r="C23" i="7"/>
  <c r="C24" i="7"/>
  <c r="C25" i="7"/>
  <c r="C26" i="7"/>
  <c r="C27" i="7"/>
  <c r="C28" i="7"/>
  <c r="C29" i="7"/>
  <c r="C30" i="7"/>
  <c r="C31" i="7"/>
  <c r="C19" i="7"/>
  <c r="C4" i="7"/>
  <c r="F35" i="7"/>
  <c r="F36" i="7"/>
  <c r="F37" i="7"/>
  <c r="F38" i="7"/>
  <c r="F39" i="7"/>
  <c r="F40" i="7"/>
  <c r="F41" i="7"/>
  <c r="F42" i="7"/>
  <c r="F43" i="7"/>
  <c r="F44" i="7"/>
  <c r="F45" i="7"/>
  <c r="F46" i="7"/>
  <c r="F34" i="7"/>
  <c r="F20" i="7"/>
  <c r="F21" i="7"/>
  <c r="F22" i="7"/>
  <c r="F23" i="7"/>
  <c r="F24" i="7"/>
  <c r="F25" i="7"/>
  <c r="F26" i="7"/>
  <c r="F27" i="7"/>
  <c r="F28" i="7"/>
  <c r="F29" i="7"/>
  <c r="F30" i="7"/>
  <c r="F31" i="7"/>
  <c r="F19" i="7"/>
  <c r="F5" i="7"/>
  <c r="F6" i="7"/>
  <c r="F7" i="7"/>
  <c r="F8" i="7"/>
  <c r="F9" i="7"/>
  <c r="F10" i="7"/>
  <c r="F11" i="7"/>
  <c r="F12" i="7"/>
  <c r="F13" i="7"/>
  <c r="F14" i="7"/>
  <c r="F15" i="7"/>
  <c r="F16" i="7"/>
  <c r="F4" i="7"/>
  <c r="C6" i="7"/>
  <c r="C5" i="7"/>
  <c r="C7" i="7"/>
  <c r="C8" i="7"/>
  <c r="C9" i="7"/>
  <c r="C10" i="7"/>
  <c r="C11" i="7"/>
  <c r="C12" i="7"/>
  <c r="C13" i="7"/>
  <c r="C14" i="7"/>
  <c r="C15" i="7"/>
  <c r="C16" i="7"/>
  <c r="G11" i="4"/>
  <c r="G10" i="4"/>
  <c r="C3" i="4"/>
  <c r="C4" i="4"/>
  <c r="C5" i="4"/>
  <c r="C6" i="4"/>
  <c r="C7" i="4"/>
  <c r="C8" i="4"/>
  <c r="C9" i="4"/>
  <c r="C10" i="4"/>
  <c r="C11" i="4"/>
  <c r="C12" i="4"/>
  <c r="C13" i="4"/>
  <c r="C14" i="4"/>
  <c r="C15" i="4"/>
  <c r="C16" i="4"/>
  <c r="C17" i="4"/>
  <c r="C18" i="4"/>
  <c r="C19" i="4"/>
  <c r="C20" i="4"/>
  <c r="C21" i="4"/>
  <c r="C22" i="4"/>
  <c r="C23" i="4"/>
  <c r="C24" i="4"/>
  <c r="C25" i="4"/>
  <c r="C26" i="4"/>
  <c r="C27" i="4"/>
  <c r="C2" i="4"/>
  <c r="C8" i="2"/>
  <c r="C11" i="2" s="1"/>
  <c r="E16" i="7" s="1"/>
  <c r="S14" i="7" s="1"/>
  <c r="D35" i="7"/>
  <c r="D36" i="7"/>
  <c r="D37" i="7"/>
  <c r="D38" i="7"/>
  <c r="D39" i="7"/>
  <c r="D40" i="7"/>
  <c r="D41" i="7"/>
  <c r="D42" i="7"/>
  <c r="D43" i="7"/>
  <c r="D44" i="7"/>
  <c r="D45" i="7"/>
  <c r="D46" i="7"/>
  <c r="D34" i="7"/>
  <c r="D20" i="7"/>
  <c r="D21" i="7"/>
  <c r="D22" i="7"/>
  <c r="D23" i="7"/>
  <c r="D24" i="7"/>
  <c r="D25" i="7"/>
  <c r="D26" i="7"/>
  <c r="D27" i="7"/>
  <c r="D28" i="7"/>
  <c r="D29" i="7"/>
  <c r="D30" i="7"/>
  <c r="D31" i="7"/>
  <c r="D19" i="7"/>
  <c r="D5" i="7"/>
  <c r="D6" i="7"/>
  <c r="D7" i="7"/>
  <c r="D8" i="7"/>
  <c r="D9" i="7"/>
  <c r="D10" i="7"/>
  <c r="D11" i="7"/>
  <c r="D12" i="7"/>
  <c r="D13" i="7"/>
  <c r="D14" i="7"/>
  <c r="D15" i="7"/>
  <c r="D16" i="7"/>
  <c r="D4" i="7"/>
  <c r="B21" i="19"/>
  <c r="B23" i="19"/>
  <c r="B24" i="19"/>
  <c r="B20" i="19"/>
  <c r="C7" i="2"/>
  <c r="B3" i="19" s="1"/>
  <c r="C29" i="2"/>
  <c r="B3" i="8" s="1"/>
  <c r="C32" i="2"/>
  <c r="C30" i="2"/>
  <c r="B4" i="8" s="1"/>
  <c r="B7" i="8"/>
  <c r="B5" i="8"/>
  <c r="B6" i="8" s="1"/>
  <c r="B46" i="7"/>
  <c r="B45" i="7"/>
  <c r="B44" i="7"/>
  <c r="B43" i="7"/>
  <c r="B42" i="7"/>
  <c r="B41" i="7"/>
  <c r="B40" i="7"/>
  <c r="B39" i="7"/>
  <c r="B38" i="7"/>
  <c r="B37" i="7"/>
  <c r="B36" i="7"/>
  <c r="B35" i="7"/>
  <c r="B34" i="7"/>
  <c r="B31" i="7"/>
  <c r="B30" i="7"/>
  <c r="B29" i="7"/>
  <c r="B28" i="7"/>
  <c r="B27" i="7"/>
  <c r="B26" i="7"/>
  <c r="B25" i="7"/>
  <c r="B24" i="7"/>
  <c r="B23" i="7"/>
  <c r="B22" i="7"/>
  <c r="B21" i="7"/>
  <c r="B20" i="7"/>
  <c r="B19" i="7"/>
  <c r="B16" i="7"/>
  <c r="B15" i="7"/>
  <c r="B14" i="7"/>
  <c r="B13" i="7"/>
  <c r="B12" i="7"/>
  <c r="B11" i="7"/>
  <c r="B10" i="7"/>
  <c r="B9" i="7"/>
  <c r="B8" i="7"/>
  <c r="B7" i="7"/>
  <c r="B6" i="7"/>
  <c r="B5" i="7"/>
  <c r="B4" i="7"/>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D80" i="5"/>
  <c r="B80" i="5"/>
  <c r="D79" i="5"/>
  <c r="B79" i="5"/>
  <c r="D78" i="5"/>
  <c r="B78" i="5"/>
  <c r="D77" i="5"/>
  <c r="B77" i="5"/>
  <c r="D76" i="5"/>
  <c r="B76" i="5"/>
  <c r="D75" i="5"/>
  <c r="B75" i="5"/>
  <c r="D74" i="5"/>
  <c r="B74" i="5"/>
  <c r="D73" i="5"/>
  <c r="B73" i="5"/>
  <c r="D72" i="5"/>
  <c r="B72" i="5"/>
  <c r="D71" i="5"/>
  <c r="B71" i="5"/>
  <c r="D70" i="5"/>
  <c r="B70" i="5"/>
  <c r="D69" i="5"/>
  <c r="B69" i="5"/>
  <c r="D68" i="5"/>
  <c r="B68" i="5"/>
  <c r="D67" i="5"/>
  <c r="B67" i="5"/>
  <c r="D66" i="5"/>
  <c r="B66" i="5"/>
  <c r="D65" i="5"/>
  <c r="B65" i="5"/>
  <c r="D64" i="5"/>
  <c r="B64" i="5"/>
  <c r="D63" i="5"/>
  <c r="B63" i="5"/>
  <c r="D62" i="5"/>
  <c r="B62" i="5"/>
  <c r="D61" i="5"/>
  <c r="B61" i="5"/>
  <c r="D60" i="5"/>
  <c r="B60" i="5"/>
  <c r="D59" i="5"/>
  <c r="B59" i="5"/>
  <c r="D58" i="5"/>
  <c r="B58" i="5"/>
  <c r="D57" i="5"/>
  <c r="B57" i="5"/>
  <c r="D56" i="5"/>
  <c r="B56" i="5"/>
  <c r="D55" i="5"/>
  <c r="B55" i="5"/>
  <c r="D54" i="5"/>
  <c r="B54" i="5"/>
  <c r="D53" i="5"/>
  <c r="B53" i="5"/>
  <c r="D52" i="5"/>
  <c r="B52" i="5"/>
  <c r="D51" i="5"/>
  <c r="B51" i="5"/>
  <c r="D50" i="5"/>
  <c r="B50" i="5"/>
  <c r="D49" i="5"/>
  <c r="B49" i="5"/>
  <c r="D48" i="5"/>
  <c r="B48" i="5"/>
  <c r="D47" i="5"/>
  <c r="B47" i="5"/>
  <c r="D46" i="5"/>
  <c r="B46" i="5"/>
  <c r="D45" i="5"/>
  <c r="B45" i="5"/>
  <c r="D44" i="5"/>
  <c r="B44" i="5"/>
  <c r="D43" i="5"/>
  <c r="B43" i="5"/>
  <c r="D42" i="5"/>
  <c r="B42" i="5"/>
  <c r="D41" i="5"/>
  <c r="B41" i="5"/>
  <c r="D40" i="5"/>
  <c r="B40" i="5"/>
  <c r="D39" i="5"/>
  <c r="B39" i="5"/>
  <c r="D38" i="5"/>
  <c r="B38" i="5"/>
  <c r="D37" i="5"/>
  <c r="B37" i="5"/>
  <c r="D36" i="5"/>
  <c r="B36" i="5"/>
  <c r="D35" i="5"/>
  <c r="B35" i="5"/>
  <c r="D34" i="5"/>
  <c r="B34" i="5"/>
  <c r="D33" i="5"/>
  <c r="B33" i="5"/>
  <c r="D32" i="5"/>
  <c r="B32" i="5"/>
  <c r="D31" i="5"/>
  <c r="B31" i="5"/>
  <c r="D30" i="5"/>
  <c r="B30" i="5"/>
  <c r="D29" i="5"/>
  <c r="B29" i="5"/>
  <c r="D28" i="5"/>
  <c r="B28" i="5"/>
  <c r="D27" i="5"/>
  <c r="B27" i="5"/>
  <c r="D26" i="5"/>
  <c r="B26" i="5"/>
  <c r="D25" i="5"/>
  <c r="B25" i="5"/>
  <c r="D24" i="5"/>
  <c r="B24" i="5"/>
  <c r="D23" i="5"/>
  <c r="B23" i="5"/>
  <c r="D22" i="5"/>
  <c r="B22" i="5"/>
  <c r="D21" i="5"/>
  <c r="B21" i="5"/>
  <c r="D20" i="5"/>
  <c r="B20" i="5"/>
  <c r="A20" i="5"/>
  <c r="A23" i="5" s="1"/>
  <c r="A26" i="5" s="1"/>
  <c r="A29" i="5" s="1"/>
  <c r="A32" i="5" s="1"/>
  <c r="A35" i="5" s="1"/>
  <c r="A38" i="5" s="1"/>
  <c r="A41" i="5" s="1"/>
  <c r="A44" i="5" s="1"/>
  <c r="A47" i="5" s="1"/>
  <c r="A50" i="5" s="1"/>
  <c r="A53" i="5" s="1"/>
  <c r="A56" i="5" s="1"/>
  <c r="A59" i="5" s="1"/>
  <c r="A62" i="5" s="1"/>
  <c r="A65" i="5" s="1"/>
  <c r="A68" i="5" s="1"/>
  <c r="A71" i="5" s="1"/>
  <c r="A74" i="5" s="1"/>
  <c r="A77" i="5" s="1"/>
  <c r="A80" i="5" s="1"/>
  <c r="D19" i="5"/>
  <c r="B19" i="5"/>
  <c r="D18" i="5"/>
  <c r="B18" i="5"/>
  <c r="D17" i="5"/>
  <c r="B17" i="5"/>
  <c r="D16" i="5"/>
  <c r="B16" i="5"/>
  <c r="D15" i="5"/>
  <c r="B15" i="5"/>
  <c r="D14" i="5"/>
  <c r="B14" i="5"/>
  <c r="A14" i="5"/>
  <c r="A17" i="5" s="1"/>
  <c r="D13" i="5"/>
  <c r="B13" i="5"/>
  <c r="D12" i="5"/>
  <c r="B12" i="5"/>
  <c r="A12" i="5"/>
  <c r="A15" i="5" s="1"/>
  <c r="A18" i="5" s="1"/>
  <c r="A21" i="5" s="1"/>
  <c r="A24" i="5" s="1"/>
  <c r="A27" i="5" s="1"/>
  <c r="A30" i="5" s="1"/>
  <c r="A33" i="5" s="1"/>
  <c r="A36" i="5" s="1"/>
  <c r="A39" i="5" s="1"/>
  <c r="A42" i="5" s="1"/>
  <c r="A45" i="5" s="1"/>
  <c r="A48" i="5" s="1"/>
  <c r="A51" i="5" s="1"/>
  <c r="A54" i="5" s="1"/>
  <c r="A57" i="5" s="1"/>
  <c r="A60" i="5" s="1"/>
  <c r="A63" i="5" s="1"/>
  <c r="A66" i="5" s="1"/>
  <c r="A69" i="5" s="1"/>
  <c r="A72" i="5" s="1"/>
  <c r="A75" i="5" s="1"/>
  <c r="A78" i="5" s="1"/>
  <c r="D11" i="5"/>
  <c r="B11" i="5"/>
  <c r="D10" i="5"/>
  <c r="B10" i="5"/>
  <c r="A10" i="5"/>
  <c r="A13" i="5" s="1"/>
  <c r="A16" i="5" s="1"/>
  <c r="A19" i="5" s="1"/>
  <c r="A22" i="5" s="1"/>
  <c r="A25" i="5" s="1"/>
  <c r="A28" i="5" s="1"/>
  <c r="A31" i="5" s="1"/>
  <c r="A34" i="5" s="1"/>
  <c r="A37" i="5" s="1"/>
  <c r="A40" i="5" s="1"/>
  <c r="A43" i="5" s="1"/>
  <c r="A46" i="5" s="1"/>
  <c r="A49" i="5" s="1"/>
  <c r="A52" i="5" s="1"/>
  <c r="A55" i="5" s="1"/>
  <c r="A58" i="5" s="1"/>
  <c r="A61" i="5" s="1"/>
  <c r="A64" i="5" s="1"/>
  <c r="A67" i="5" s="1"/>
  <c r="A70" i="5" s="1"/>
  <c r="A73" i="5" s="1"/>
  <c r="A76" i="5" s="1"/>
  <c r="A79" i="5" s="1"/>
  <c r="D9" i="5"/>
  <c r="B9" i="5"/>
  <c r="D8" i="5"/>
  <c r="B8" i="5"/>
  <c r="A8" i="5"/>
  <c r="A11" i="5" s="1"/>
  <c r="D7" i="5"/>
  <c r="B7" i="5"/>
  <c r="A7" i="5"/>
  <c r="D6" i="5"/>
  <c r="B6" i="5"/>
  <c r="A6" i="5"/>
  <c r="A9" i="5" s="1"/>
  <c r="D5" i="5"/>
  <c r="B5" i="5"/>
  <c r="D4" i="5"/>
  <c r="B4" i="5"/>
  <c r="D3" i="5"/>
  <c r="B3" i="5"/>
  <c r="H3" i="4"/>
  <c r="H2" i="4"/>
  <c r="H4" i="4" s="1"/>
  <c r="F17" i="7" l="1"/>
  <c r="C34" i="2"/>
  <c r="B12" i="19" s="1"/>
  <c r="S11" i="7"/>
  <c r="N5" i="19"/>
  <c r="C21" i="2"/>
  <c r="C23" i="19"/>
  <c r="D23" i="19" s="1"/>
  <c r="C20" i="2"/>
  <c r="B22" i="19"/>
  <c r="C21" i="19"/>
  <c r="D21" i="19" s="1"/>
  <c r="C20" i="19"/>
  <c r="D20" i="19" s="1"/>
  <c r="C24" i="19"/>
  <c r="D24" i="19" s="1"/>
  <c r="C22" i="19"/>
  <c r="C59" i="5"/>
  <c r="E59" i="5" s="1"/>
  <c r="C59" i="6" s="1"/>
  <c r="C51" i="5"/>
  <c r="E51" i="5" s="1"/>
  <c r="C51" i="6" s="1"/>
  <c r="C12" i="5"/>
  <c r="E12" i="5" s="1"/>
  <c r="F12" i="5" s="1"/>
  <c r="H17" i="2"/>
  <c r="C11" i="5"/>
  <c r="E11" i="5" s="1"/>
  <c r="C11" i="6" s="1"/>
  <c r="D47" i="7"/>
  <c r="D17" i="7"/>
  <c r="C61" i="5"/>
  <c r="E61" i="5" s="1"/>
  <c r="F61" i="5" s="1"/>
  <c r="D32" i="7"/>
  <c r="B8" i="8"/>
  <c r="S17" i="7" s="1"/>
  <c r="C16" i="5"/>
  <c r="E16" i="5" s="1"/>
  <c r="F16" i="5" s="1"/>
  <c r="C27" i="5"/>
  <c r="E27" i="5" s="1"/>
  <c r="F27" i="5" s="1"/>
  <c r="C45" i="5"/>
  <c r="E45" i="5" s="1"/>
  <c r="C45" i="6" s="1"/>
  <c r="C53" i="5"/>
  <c r="E53" i="5" s="1"/>
  <c r="C4" i="12"/>
  <c r="C8" i="12"/>
  <c r="C12" i="12"/>
  <c r="C16" i="12"/>
  <c r="C20" i="12"/>
  <c r="C24" i="12"/>
  <c r="C28" i="12"/>
  <c r="C7" i="12"/>
  <c r="C11" i="12"/>
  <c r="C15" i="12"/>
  <c r="C19" i="12"/>
  <c r="C23" i="12"/>
  <c r="C27" i="12"/>
  <c r="B3" i="10"/>
  <c r="C6" i="12"/>
  <c r="C10" i="12"/>
  <c r="C14" i="12"/>
  <c r="C18" i="12"/>
  <c r="C22" i="12"/>
  <c r="C26" i="12"/>
  <c r="C5" i="12"/>
  <c r="C9" i="12"/>
  <c r="C13" i="12"/>
  <c r="C17" i="12"/>
  <c r="C21" i="12"/>
  <c r="C25" i="12"/>
  <c r="C29" i="12"/>
  <c r="N6" i="19" l="1"/>
  <c r="B13" i="19"/>
  <c r="A39" i="19" s="1"/>
  <c r="D22" i="19"/>
  <c r="E22" i="19" s="1"/>
  <c r="E21" i="19"/>
  <c r="E24" i="19"/>
  <c r="E23" i="19"/>
  <c r="E20" i="19"/>
  <c r="C9" i="5"/>
  <c r="E9" i="5" s="1"/>
  <c r="F9" i="5" s="1"/>
  <c r="C10" i="5"/>
  <c r="E10" i="5" s="1"/>
  <c r="F10" i="5" s="1"/>
  <c r="C58" i="5"/>
  <c r="E58" i="5" s="1"/>
  <c r="C13" i="5"/>
  <c r="E13" i="5" s="1"/>
  <c r="F13" i="5" s="1"/>
  <c r="C22" i="2"/>
  <c r="C24" i="2" s="1"/>
  <c r="C74" i="5"/>
  <c r="E74" i="5" s="1"/>
  <c r="C60" i="5"/>
  <c r="E60" i="5" s="1"/>
  <c r="F60" i="5" s="1"/>
  <c r="F51" i="5"/>
  <c r="C57" i="5"/>
  <c r="E57" i="5" s="1"/>
  <c r="F57" i="5" s="1"/>
  <c r="F11" i="5"/>
  <c r="C52" i="5"/>
  <c r="E52" i="5" s="1"/>
  <c r="F52" i="5" s="1"/>
  <c r="C61" i="6"/>
  <c r="F59" i="5"/>
  <c r="C12" i="6"/>
  <c r="C72" i="5"/>
  <c r="E72" i="5" s="1"/>
  <c r="C72" i="6" s="1"/>
  <c r="C55" i="5"/>
  <c r="E55" i="5" s="1"/>
  <c r="F55" i="5" s="1"/>
  <c r="C73" i="5"/>
  <c r="E73" i="5" s="1"/>
  <c r="C73" i="6" s="1"/>
  <c r="C14" i="5"/>
  <c r="E14" i="5" s="1"/>
  <c r="C14" i="6" s="1"/>
  <c r="C46" i="5"/>
  <c r="E46" i="5" s="1"/>
  <c r="C46" i="6" s="1"/>
  <c r="C17" i="5"/>
  <c r="E17" i="5" s="1"/>
  <c r="F17" i="5" s="1"/>
  <c r="C27" i="6"/>
  <c r="C28" i="5"/>
  <c r="E28" i="5" s="1"/>
  <c r="C28" i="6" s="1"/>
  <c r="C15" i="5"/>
  <c r="E15" i="5" s="1"/>
  <c r="C15" i="6" s="1"/>
  <c r="C56" i="5"/>
  <c r="E56" i="5" s="1"/>
  <c r="F56" i="5" s="1"/>
  <c r="C62" i="5"/>
  <c r="E62" i="5" s="1"/>
  <c r="F62" i="5" s="1"/>
  <c r="C29" i="5"/>
  <c r="E29" i="5" s="1"/>
  <c r="C29" i="6" s="1"/>
  <c r="C54" i="5"/>
  <c r="E54" i="5" s="1"/>
  <c r="F54" i="5" s="1"/>
  <c r="C16" i="6"/>
  <c r="J12" i="2"/>
  <c r="H23" i="2"/>
  <c r="J14" i="2"/>
  <c r="J13" i="2"/>
  <c r="F45" i="5"/>
  <c r="C47" i="5"/>
  <c r="E47" i="5" s="1"/>
  <c r="F47" i="5" s="1"/>
  <c r="B9" i="10"/>
  <c r="E17" i="12"/>
  <c r="K17" i="12" s="1"/>
  <c r="Q17" i="12" s="1"/>
  <c r="D17" i="12"/>
  <c r="J17" i="12" s="1"/>
  <c r="P17" i="12" s="1"/>
  <c r="I17" i="12"/>
  <c r="O17" i="12" s="1"/>
  <c r="C60" i="6"/>
  <c r="C48" i="5"/>
  <c r="E48" i="5" s="1"/>
  <c r="C50" i="5"/>
  <c r="E50" i="5" s="1"/>
  <c r="C49" i="5"/>
  <c r="E49" i="5" s="1"/>
  <c r="C67" i="5"/>
  <c r="E67" i="5" s="1"/>
  <c r="C68" i="5"/>
  <c r="E68" i="5" s="1"/>
  <c r="C66" i="5"/>
  <c r="E66" i="5" s="1"/>
  <c r="I11" i="12"/>
  <c r="O11" i="12" s="1"/>
  <c r="E11" i="12"/>
  <c r="K11" i="12" s="1"/>
  <c r="Q11" i="12" s="1"/>
  <c r="D11" i="12"/>
  <c r="J11" i="12" s="1"/>
  <c r="P11" i="12" s="1"/>
  <c r="C37" i="5"/>
  <c r="E37" i="5" s="1"/>
  <c r="C36" i="5"/>
  <c r="E36" i="5" s="1"/>
  <c r="C38" i="5"/>
  <c r="E38" i="5" s="1"/>
  <c r="E5" i="12"/>
  <c r="K5" i="12" s="1"/>
  <c r="Q5" i="12" s="1"/>
  <c r="D5" i="12"/>
  <c r="J5" i="12" s="1"/>
  <c r="P5" i="12" s="1"/>
  <c r="I5" i="12"/>
  <c r="O5" i="12" s="1"/>
  <c r="I24" i="12"/>
  <c r="O24" i="12" s="1"/>
  <c r="E24" i="12"/>
  <c r="K24" i="12" s="1"/>
  <c r="Q24" i="12" s="1"/>
  <c r="D24" i="12"/>
  <c r="J24" i="12" s="1"/>
  <c r="P24" i="12" s="1"/>
  <c r="C64" i="5"/>
  <c r="E64" i="5" s="1"/>
  <c r="C63" i="5"/>
  <c r="E63" i="5" s="1"/>
  <c r="C65" i="5"/>
  <c r="E65" i="5" s="1"/>
  <c r="I19" i="12"/>
  <c r="O19" i="12" s="1"/>
  <c r="E19" i="12"/>
  <c r="K19" i="12" s="1"/>
  <c r="Q19" i="12" s="1"/>
  <c r="D19" i="12"/>
  <c r="J19" i="12" s="1"/>
  <c r="P19" i="12" s="1"/>
  <c r="G34" i="7"/>
  <c r="C3" i="5"/>
  <c r="E3" i="5" s="1"/>
  <c r="S12" i="7" s="1"/>
  <c r="G19" i="7"/>
  <c r="C5" i="5"/>
  <c r="E5" i="5" s="1"/>
  <c r="C4" i="5"/>
  <c r="G4" i="7"/>
  <c r="H4" i="7" s="1"/>
  <c r="C43" i="5"/>
  <c r="E43" i="5" s="1"/>
  <c r="C42" i="5"/>
  <c r="E42" i="5" s="1"/>
  <c r="C44" i="5"/>
  <c r="E44" i="5" s="1"/>
  <c r="C53" i="6"/>
  <c r="F53" i="5"/>
  <c r="C19" i="5"/>
  <c r="E19" i="5" s="1"/>
  <c r="C20" i="5"/>
  <c r="E20" i="5" s="1"/>
  <c r="C18" i="5"/>
  <c r="E18" i="5" s="1"/>
  <c r="E13" i="12"/>
  <c r="K13" i="12" s="1"/>
  <c r="Q13" i="12" s="1"/>
  <c r="D13" i="12"/>
  <c r="J13" i="12" s="1"/>
  <c r="P13" i="12" s="1"/>
  <c r="I13" i="12"/>
  <c r="O13" i="12" s="1"/>
  <c r="I26" i="12"/>
  <c r="O26" i="12" s="1"/>
  <c r="E26" i="12"/>
  <c r="K26" i="12" s="1"/>
  <c r="Q26" i="12" s="1"/>
  <c r="D26" i="12"/>
  <c r="J26" i="12" s="1"/>
  <c r="P26" i="12" s="1"/>
  <c r="I22" i="12"/>
  <c r="O22" i="12" s="1"/>
  <c r="E22" i="12"/>
  <c r="K22" i="12" s="1"/>
  <c r="Q22" i="12" s="1"/>
  <c r="D22" i="12"/>
  <c r="J22" i="12" s="1"/>
  <c r="P22" i="12" s="1"/>
  <c r="F58" i="5"/>
  <c r="C58" i="6"/>
  <c r="I16" i="12"/>
  <c r="O16" i="12" s="1"/>
  <c r="E16" i="12"/>
  <c r="K16" i="12" s="1"/>
  <c r="Q16" i="12" s="1"/>
  <c r="D16" i="12"/>
  <c r="J16" i="12" s="1"/>
  <c r="P16" i="12" s="1"/>
  <c r="I15" i="12"/>
  <c r="O15" i="12" s="1"/>
  <c r="E15" i="12"/>
  <c r="K15" i="12" s="1"/>
  <c r="Q15" i="12" s="1"/>
  <c r="D15" i="12"/>
  <c r="J15" i="12" s="1"/>
  <c r="P15" i="12" s="1"/>
  <c r="I7" i="12"/>
  <c r="O7" i="12" s="1"/>
  <c r="E7" i="12"/>
  <c r="K7" i="12" s="1"/>
  <c r="Q7" i="12" s="1"/>
  <c r="D7" i="12"/>
  <c r="J7" i="12" s="1"/>
  <c r="P7" i="12" s="1"/>
  <c r="I18" i="12"/>
  <c r="O18" i="12" s="1"/>
  <c r="E18" i="12"/>
  <c r="K18" i="12" s="1"/>
  <c r="Q18" i="12" s="1"/>
  <c r="D18" i="12"/>
  <c r="J18" i="12" s="1"/>
  <c r="P18" i="12" s="1"/>
  <c r="I20" i="12"/>
  <c r="O20" i="12" s="1"/>
  <c r="E20" i="12"/>
  <c r="K20" i="12" s="1"/>
  <c r="Q20" i="12" s="1"/>
  <c r="D20" i="12"/>
  <c r="J20" i="12" s="1"/>
  <c r="P20" i="12" s="1"/>
  <c r="C35" i="5"/>
  <c r="E35" i="5" s="1"/>
  <c r="C34" i="5"/>
  <c r="E34" i="5" s="1"/>
  <c r="C33" i="5"/>
  <c r="E33" i="5" s="1"/>
  <c r="C40" i="5"/>
  <c r="E40" i="5" s="1"/>
  <c r="C39" i="5"/>
  <c r="E39" i="5" s="1"/>
  <c r="C41" i="5"/>
  <c r="E41" i="5" s="1"/>
  <c r="E29" i="12"/>
  <c r="K29" i="12" s="1"/>
  <c r="Q29" i="12" s="1"/>
  <c r="D29" i="12"/>
  <c r="J29" i="12" s="1"/>
  <c r="P29" i="12" s="1"/>
  <c r="I29" i="12"/>
  <c r="O29" i="12" s="1"/>
  <c r="I6" i="12"/>
  <c r="O6" i="12" s="1"/>
  <c r="E6" i="12"/>
  <c r="K6" i="12" s="1"/>
  <c r="Q6" i="12" s="1"/>
  <c r="D6" i="12"/>
  <c r="J6" i="12" s="1"/>
  <c r="P6" i="12" s="1"/>
  <c r="I12" i="12"/>
  <c r="O12" i="12" s="1"/>
  <c r="E12" i="12"/>
  <c r="K12" i="12" s="1"/>
  <c r="Q12" i="12" s="1"/>
  <c r="D12" i="12"/>
  <c r="J12" i="12" s="1"/>
  <c r="P12" i="12" s="1"/>
  <c r="E9" i="12"/>
  <c r="K9" i="12" s="1"/>
  <c r="Q9" i="12" s="1"/>
  <c r="D9" i="12"/>
  <c r="J9" i="12" s="1"/>
  <c r="P9" i="12" s="1"/>
  <c r="I9" i="12"/>
  <c r="O9" i="12" s="1"/>
  <c r="C21" i="5"/>
  <c r="E21" i="5" s="1"/>
  <c r="C23" i="5"/>
  <c r="E23" i="5" s="1"/>
  <c r="C22" i="5"/>
  <c r="E22" i="5" s="1"/>
  <c r="F74" i="5"/>
  <c r="C74" i="6"/>
  <c r="C8" i="5"/>
  <c r="E8" i="5" s="1"/>
  <c r="C7" i="5"/>
  <c r="E7" i="5" s="1"/>
  <c r="C6" i="5"/>
  <c r="E6" i="5" s="1"/>
  <c r="C69" i="5"/>
  <c r="E69" i="5" s="1"/>
  <c r="C71" i="5"/>
  <c r="E71" i="5" s="1"/>
  <c r="C70" i="5"/>
  <c r="E70" i="5" s="1"/>
  <c r="I14" i="12"/>
  <c r="O14" i="12" s="1"/>
  <c r="E14" i="12"/>
  <c r="K14" i="12" s="1"/>
  <c r="Q14" i="12" s="1"/>
  <c r="D14" i="12"/>
  <c r="J14" i="12" s="1"/>
  <c r="P14" i="12" s="1"/>
  <c r="I10" i="12"/>
  <c r="O10" i="12" s="1"/>
  <c r="E10" i="12"/>
  <c r="K10" i="12" s="1"/>
  <c r="Q10" i="12" s="1"/>
  <c r="D10" i="12"/>
  <c r="J10" i="12" s="1"/>
  <c r="P10" i="12" s="1"/>
  <c r="E25" i="12"/>
  <c r="K25" i="12" s="1"/>
  <c r="Q25" i="12" s="1"/>
  <c r="D25" i="12"/>
  <c r="J25" i="12" s="1"/>
  <c r="P25" i="12" s="1"/>
  <c r="I25" i="12"/>
  <c r="O25" i="12" s="1"/>
  <c r="I8" i="12"/>
  <c r="O8" i="12" s="1"/>
  <c r="E8" i="12"/>
  <c r="K8" i="12" s="1"/>
  <c r="Q8" i="12" s="1"/>
  <c r="D8" i="12"/>
  <c r="J8" i="12" s="1"/>
  <c r="P8" i="12" s="1"/>
  <c r="C80" i="5"/>
  <c r="E80" i="5" s="1"/>
  <c r="C79" i="5"/>
  <c r="E79" i="5" s="1"/>
  <c r="C78" i="5"/>
  <c r="E78" i="5" s="1"/>
  <c r="I23" i="12"/>
  <c r="O23" i="12" s="1"/>
  <c r="E23" i="12"/>
  <c r="K23" i="12" s="1"/>
  <c r="Q23" i="12" s="1"/>
  <c r="D23" i="12"/>
  <c r="J23" i="12" s="1"/>
  <c r="P23" i="12" s="1"/>
  <c r="C75" i="5"/>
  <c r="E75" i="5" s="1"/>
  <c r="C77" i="5"/>
  <c r="E77" i="5" s="1"/>
  <c r="C76" i="5"/>
  <c r="E76" i="5" s="1"/>
  <c r="C32" i="5"/>
  <c r="E32" i="5" s="1"/>
  <c r="C31" i="5"/>
  <c r="E31" i="5" s="1"/>
  <c r="C30" i="5"/>
  <c r="E30" i="5" s="1"/>
  <c r="I28" i="12"/>
  <c r="O28" i="12" s="1"/>
  <c r="E28" i="12"/>
  <c r="K28" i="12" s="1"/>
  <c r="Q28" i="12" s="1"/>
  <c r="D28" i="12"/>
  <c r="J28" i="12" s="1"/>
  <c r="P28" i="12" s="1"/>
  <c r="E21" i="12"/>
  <c r="K21" i="12" s="1"/>
  <c r="Q21" i="12" s="1"/>
  <c r="D21" i="12"/>
  <c r="J21" i="12" s="1"/>
  <c r="P21" i="12" s="1"/>
  <c r="I21" i="12"/>
  <c r="O21" i="12" s="1"/>
  <c r="I27" i="12"/>
  <c r="O27" i="12" s="1"/>
  <c r="E27" i="12"/>
  <c r="K27" i="12" s="1"/>
  <c r="Q27" i="12" s="1"/>
  <c r="D27" i="12"/>
  <c r="J27" i="12" s="1"/>
  <c r="P27" i="12" s="1"/>
  <c r="I4" i="12"/>
  <c r="O4" i="12" s="1"/>
  <c r="E4" i="12"/>
  <c r="K4" i="12" s="1"/>
  <c r="Q4" i="12" s="1"/>
  <c r="D4" i="12"/>
  <c r="J4" i="12" s="1"/>
  <c r="P4" i="12" s="1"/>
  <c r="C24" i="5"/>
  <c r="E24" i="5" s="1"/>
  <c r="C26" i="5"/>
  <c r="E26" i="5" s="1"/>
  <c r="C25" i="5"/>
  <c r="E25" i="5" s="1"/>
  <c r="C10" i="6" l="1"/>
  <c r="C13" i="6"/>
  <c r="C9" i="6"/>
  <c r="C23" i="2"/>
  <c r="S10" i="7"/>
  <c r="B14" i="19"/>
  <c r="H28" i="7"/>
  <c r="H20" i="7"/>
  <c r="H44" i="7"/>
  <c r="H9" i="7"/>
  <c r="H36" i="7"/>
  <c r="H22" i="7"/>
  <c r="H25" i="7"/>
  <c r="H35" i="7"/>
  <c r="H11" i="7"/>
  <c r="H24" i="7"/>
  <c r="H45" i="7"/>
  <c r="H21" i="7"/>
  <c r="H39" i="7"/>
  <c r="H14" i="7"/>
  <c r="H43" i="7"/>
  <c r="H8" i="7"/>
  <c r="H41" i="7"/>
  <c r="H38" i="7"/>
  <c r="H30" i="7"/>
  <c r="H16" i="7"/>
  <c r="H12" i="7"/>
  <c r="H13" i="7"/>
  <c r="H23" i="7"/>
  <c r="H15" i="7"/>
  <c r="H29" i="7"/>
  <c r="H10" i="7"/>
  <c r="H42" i="7"/>
  <c r="H26" i="7"/>
  <c r="H40" i="7"/>
  <c r="C52" i="6"/>
  <c r="D23" i="6"/>
  <c r="E23" i="6" s="1"/>
  <c r="D11" i="6"/>
  <c r="E11" i="6" s="1"/>
  <c r="D29" i="6"/>
  <c r="E29" i="6" s="1"/>
  <c r="D5" i="6"/>
  <c r="E5" i="6" s="1"/>
  <c r="D78" i="6"/>
  <c r="E78" i="6" s="1"/>
  <c r="D30" i="6"/>
  <c r="E30" i="6" s="1"/>
  <c r="D61" i="6"/>
  <c r="E61" i="6" s="1"/>
  <c r="D68" i="6"/>
  <c r="E68" i="6" s="1"/>
  <c r="D45" i="6"/>
  <c r="E45" i="6" s="1"/>
  <c r="D70" i="6"/>
  <c r="E70" i="6" s="1"/>
  <c r="D77" i="6"/>
  <c r="E77" i="6" s="1"/>
  <c r="D72" i="6"/>
  <c r="E72" i="6" s="1"/>
  <c r="D36" i="6"/>
  <c r="E36" i="6" s="1"/>
  <c r="D67" i="6"/>
  <c r="E67" i="6" s="1"/>
  <c r="D17" i="6"/>
  <c r="E17" i="6" s="1"/>
  <c r="D63" i="6"/>
  <c r="E63" i="6" s="1"/>
  <c r="D42" i="6"/>
  <c r="E42" i="6" s="1"/>
  <c r="D75" i="6"/>
  <c r="E75" i="6" s="1"/>
  <c r="D79" i="6"/>
  <c r="E79" i="6" s="1"/>
  <c r="D66" i="6"/>
  <c r="E66" i="6" s="1"/>
  <c r="D8" i="6"/>
  <c r="E8" i="6" s="1"/>
  <c r="D35" i="6"/>
  <c r="E35" i="6" s="1"/>
  <c r="D4" i="6"/>
  <c r="E4" i="6" s="1"/>
  <c r="D3" i="6"/>
  <c r="E3" i="6" s="1"/>
  <c r="S13" i="7" s="1"/>
  <c r="D73" i="6"/>
  <c r="E73" i="6" s="1"/>
  <c r="D7" i="6"/>
  <c r="E7" i="6" s="1"/>
  <c r="D14" i="6"/>
  <c r="E14" i="6" s="1"/>
  <c r="D41" i="6"/>
  <c r="E41" i="6" s="1"/>
  <c r="D10" i="6"/>
  <c r="E10" i="6" s="1"/>
  <c r="D9" i="6"/>
  <c r="E9" i="6" s="1"/>
  <c r="D60" i="6"/>
  <c r="E60" i="6" s="1"/>
  <c r="D13" i="6"/>
  <c r="E13" i="6" s="1"/>
  <c r="D20" i="6"/>
  <c r="E20" i="6" s="1"/>
  <c r="D47" i="6"/>
  <c r="E47" i="6" s="1"/>
  <c r="D16" i="6"/>
  <c r="E16" i="6" s="1"/>
  <c r="D15" i="6"/>
  <c r="E15" i="6" s="1"/>
  <c r="D80" i="6"/>
  <c r="E80" i="6" s="1"/>
  <c r="D19" i="6"/>
  <c r="E19" i="6" s="1"/>
  <c r="D26" i="6"/>
  <c r="E26" i="6" s="1"/>
  <c r="D53" i="6"/>
  <c r="E53" i="6" s="1"/>
  <c r="D28" i="6"/>
  <c r="E28" i="6" s="1"/>
  <c r="D21" i="6"/>
  <c r="E21" i="6" s="1"/>
  <c r="D48" i="6"/>
  <c r="E48" i="6" s="1"/>
  <c r="D25" i="6"/>
  <c r="E25" i="6" s="1"/>
  <c r="D32" i="6"/>
  <c r="E32" i="6" s="1"/>
  <c r="D59" i="6"/>
  <c r="E59" i="6" s="1"/>
  <c r="D34" i="6"/>
  <c r="E34" i="6" s="1"/>
  <c r="D27" i="6"/>
  <c r="E27" i="6" s="1"/>
  <c r="D74" i="6"/>
  <c r="E74" i="6" s="1"/>
  <c r="D31" i="6"/>
  <c r="E31" i="6" s="1"/>
  <c r="D38" i="6"/>
  <c r="E38" i="6" s="1"/>
  <c r="D65" i="6"/>
  <c r="E65" i="6" s="1"/>
  <c r="D40" i="6"/>
  <c r="E40" i="6" s="1"/>
  <c r="D33" i="6"/>
  <c r="E33" i="6" s="1"/>
  <c r="D6" i="6"/>
  <c r="E6" i="6" s="1"/>
  <c r="D37" i="6"/>
  <c r="E37" i="6" s="1"/>
  <c r="D44" i="6"/>
  <c r="E44" i="6" s="1"/>
  <c r="D71" i="6"/>
  <c r="E71" i="6" s="1"/>
  <c r="D46" i="6"/>
  <c r="E46" i="6" s="1"/>
  <c r="D39" i="6"/>
  <c r="E39" i="6" s="1"/>
  <c r="D12" i="6"/>
  <c r="E12" i="6" s="1"/>
  <c r="D43" i="6"/>
  <c r="E43" i="6" s="1"/>
  <c r="D50" i="6"/>
  <c r="E50" i="6" s="1"/>
  <c r="D54" i="6"/>
  <c r="E54" i="6" s="1"/>
  <c r="D52" i="6"/>
  <c r="E52" i="6" s="1"/>
  <c r="D51" i="6"/>
  <c r="E51" i="6" s="1"/>
  <c r="D18" i="6"/>
  <c r="E18" i="6" s="1"/>
  <c r="D49" i="6"/>
  <c r="E49" i="6" s="1"/>
  <c r="D56" i="6"/>
  <c r="E56" i="6" s="1"/>
  <c r="D69" i="6"/>
  <c r="E69" i="6" s="1"/>
  <c r="D58" i="6"/>
  <c r="E58" i="6" s="1"/>
  <c r="D57" i="6"/>
  <c r="E57" i="6" s="1"/>
  <c r="D24" i="6"/>
  <c r="E24" i="6" s="1"/>
  <c r="D55" i="6"/>
  <c r="E55" i="6" s="1"/>
  <c r="D62" i="6"/>
  <c r="E62" i="6" s="1"/>
  <c r="D76" i="6"/>
  <c r="E76" i="6" s="1"/>
  <c r="D64" i="6"/>
  <c r="E64" i="6" s="1"/>
  <c r="D22" i="6"/>
  <c r="E22" i="6" s="1"/>
  <c r="F28" i="5"/>
  <c r="C57" i="6"/>
  <c r="C55" i="6"/>
  <c r="F14" i="5"/>
  <c r="C47" i="6"/>
  <c r="F72" i="5"/>
  <c r="F46" i="5"/>
  <c r="F73" i="5"/>
  <c r="C17" i="6"/>
  <c r="F29" i="5"/>
  <c r="F15" i="5"/>
  <c r="C62" i="6"/>
  <c r="C56" i="6"/>
  <c r="C54" i="6"/>
  <c r="C75" i="6"/>
  <c r="F75" i="5"/>
  <c r="F34" i="5"/>
  <c r="C34" i="6"/>
  <c r="F67" i="5"/>
  <c r="C67" i="6"/>
  <c r="E46" i="7"/>
  <c r="E47" i="7" s="1"/>
  <c r="C41" i="6"/>
  <c r="F41" i="5"/>
  <c r="F49" i="5"/>
  <c r="C49" i="6"/>
  <c r="F66" i="5"/>
  <c r="C66" i="6"/>
  <c r="F33" i="5"/>
  <c r="C33" i="6"/>
  <c r="C23" i="6"/>
  <c r="F23" i="5"/>
  <c r="F35" i="5"/>
  <c r="C35" i="6"/>
  <c r="F18" i="5"/>
  <c r="C18" i="6"/>
  <c r="E4" i="5"/>
  <c r="H37" i="7"/>
  <c r="H27" i="7"/>
  <c r="C65" i="6"/>
  <c r="F65" i="5"/>
  <c r="F38" i="5"/>
  <c r="C38" i="6"/>
  <c r="C31" i="6"/>
  <c r="F31" i="5"/>
  <c r="F40" i="5"/>
  <c r="E31" i="7"/>
  <c r="E32" i="7" s="1"/>
  <c r="C40" i="6"/>
  <c r="F21" i="5"/>
  <c r="C21" i="6"/>
  <c r="F20" i="5"/>
  <c r="C20" i="6"/>
  <c r="C5" i="6"/>
  <c r="F5" i="5"/>
  <c r="F36" i="5"/>
  <c r="C36" i="6"/>
  <c r="F19" i="5"/>
  <c r="C19" i="6"/>
  <c r="C63" i="6"/>
  <c r="F63" i="5"/>
  <c r="F42" i="5"/>
  <c r="C42" i="6"/>
  <c r="F32" i="5"/>
  <c r="C32" i="6"/>
  <c r="F48" i="5"/>
  <c r="C48" i="6"/>
  <c r="F76" i="5"/>
  <c r="C76" i="6"/>
  <c r="F80" i="5"/>
  <c r="C80" i="6"/>
  <c r="F8" i="5"/>
  <c r="C8" i="6"/>
  <c r="B4" i="10"/>
  <c r="H18" i="2"/>
  <c r="C3" i="6"/>
  <c r="F3" i="5"/>
  <c r="F64" i="5"/>
  <c r="C64" i="6"/>
  <c r="F37" i="5"/>
  <c r="C37" i="6"/>
  <c r="F30" i="5"/>
  <c r="C30" i="6"/>
  <c r="C71" i="6"/>
  <c r="F71" i="5"/>
  <c r="F69" i="5"/>
  <c r="C69" i="6"/>
  <c r="F50" i="5"/>
  <c r="C50" i="6"/>
  <c r="F22" i="5"/>
  <c r="C22" i="6"/>
  <c r="F68" i="5"/>
  <c r="C68" i="6"/>
  <c r="F79" i="5"/>
  <c r="C79" i="6"/>
  <c r="F7" i="5"/>
  <c r="C7" i="6"/>
  <c r="C25" i="6"/>
  <c r="F25" i="5"/>
  <c r="F26" i="5"/>
  <c r="C26" i="6"/>
  <c r="C77" i="6"/>
  <c r="F77" i="5"/>
  <c r="F70" i="5"/>
  <c r="C70" i="6"/>
  <c r="F39" i="5"/>
  <c r="C39" i="6"/>
  <c r="C43" i="6"/>
  <c r="F43" i="5"/>
  <c r="F6" i="5"/>
  <c r="C6" i="6"/>
  <c r="F78" i="5"/>
  <c r="C78" i="6"/>
  <c r="F24" i="5"/>
  <c r="C24" i="6"/>
  <c r="F44" i="5"/>
  <c r="C44" i="6"/>
  <c r="H6" i="7" l="1"/>
  <c r="H7" i="7"/>
  <c r="S15" i="7"/>
  <c r="S5" i="7"/>
  <c r="B5" i="10"/>
  <c r="H5" i="7"/>
  <c r="H19" i="2"/>
  <c r="H31" i="7"/>
  <c r="H34" i="7"/>
  <c r="C47" i="7"/>
  <c r="H46" i="7"/>
  <c r="B6" i="10"/>
  <c r="E17" i="7"/>
  <c r="H20" i="2"/>
  <c r="C17" i="7"/>
  <c r="C32" i="7"/>
  <c r="H19" i="7"/>
  <c r="F4" i="5"/>
  <c r="C4" i="6"/>
  <c r="T5" i="7" l="1"/>
  <c r="H4" i="19"/>
  <c r="L4" i="19"/>
  <c r="M4" i="19"/>
  <c r="I4" i="19"/>
  <c r="G4" i="19"/>
  <c r="D4" i="19"/>
  <c r="E4" i="19"/>
  <c r="F4" i="19"/>
  <c r="N4" i="19"/>
  <c r="K4" i="19"/>
  <c r="J4" i="19"/>
  <c r="H17" i="7"/>
  <c r="C3" i="9"/>
  <c r="S16" i="7" s="1"/>
  <c r="H12" i="2"/>
  <c r="I12" i="2"/>
  <c r="I13" i="2"/>
  <c r="H32" i="7"/>
  <c r="C4" i="9"/>
  <c r="H13" i="2"/>
  <c r="C5" i="9"/>
  <c r="H47" i="7"/>
  <c r="I14" i="2"/>
  <c r="H14" i="2"/>
  <c r="B15" i="19" l="1"/>
  <c r="B16" i="19"/>
  <c r="A29" i="19" s="1"/>
  <c r="B7" i="10"/>
  <c r="H21" i="2"/>
  <c r="B8" i="10"/>
  <c r="H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<sst xmlns="http://schemas.openxmlformats.org/spreadsheetml/2006/main" count="330" uniqueCount="197">
  <si>
    <t>A320neo – Aircraft Valuation Model</t>
  </si>
  <si>
    <t>Purpose:</t>
  </si>
  <si>
    <t>Investment-grade aircraft valuation using aviation-finance methodology</t>
  </si>
  <si>
    <t>Prepared:</t>
  </si>
  <si>
    <t>2025-12-14</t>
  </si>
  <si>
    <t>s</t>
  </si>
  <si>
    <t>Assumptions Table</t>
  </si>
  <si>
    <t>Assumption Input Table</t>
  </si>
  <si>
    <t>You can manipulate this table for any combination and then can select that value in assumption table to see output</t>
  </si>
  <si>
    <t>Category</t>
  </si>
  <si>
    <t>Assumption</t>
  </si>
  <si>
    <t>Value</t>
  </si>
  <si>
    <t>Notes</t>
  </si>
  <si>
    <t>List Price</t>
  </si>
  <si>
    <t>Discount</t>
  </si>
  <si>
    <t>Model Factor</t>
  </si>
  <si>
    <t>Retention%</t>
  </si>
  <si>
    <t>LRF</t>
  </si>
  <si>
    <t>FH/Year</t>
  </si>
  <si>
    <t>Aircraft</t>
  </si>
  <si>
    <t>List Price (USD)</t>
  </si>
  <si>
    <t>OEM list</t>
  </si>
  <si>
    <t>New Aircraft Discount</t>
  </si>
  <si>
    <t>Market discount</t>
  </si>
  <si>
    <t>Model Factor %</t>
  </si>
  <si>
    <t>Spec adj</t>
  </si>
  <si>
    <t>Valuation</t>
  </si>
  <si>
    <t>First Year Retention %</t>
  </si>
  <si>
    <t>BV(1)/BV0</t>
  </si>
  <si>
    <t>Economic Life (yrs)</t>
  </si>
  <si>
    <t>Horizon</t>
  </si>
  <si>
    <t>Lease</t>
  </si>
  <si>
    <t>LRF (annual)</t>
  </si>
  <si>
    <t>Market</t>
  </si>
  <si>
    <t>Lease Term (yrs)</t>
  </si>
  <si>
    <t>Base lease</t>
  </si>
  <si>
    <t>Ops</t>
  </si>
  <si>
    <t>Flight Hours / year</t>
  </si>
  <si>
    <t>Utilisation</t>
  </si>
  <si>
    <t>Maintenance</t>
  </si>
  <si>
    <t>Reserve per FH</t>
  </si>
  <si>
    <t>USD</t>
  </si>
  <si>
    <t>Transaction</t>
  </si>
  <si>
    <t>Selling Costs %</t>
  </si>
  <si>
    <t>Broker + transition</t>
  </si>
  <si>
    <t>Finance</t>
  </si>
  <si>
    <t>Cost of Equity</t>
  </si>
  <si>
    <t>Cost of Debt</t>
  </si>
  <si>
    <t>Pre-tax</t>
  </si>
  <si>
    <t>Output Table</t>
  </si>
  <si>
    <t>Debt Ratio</t>
  </si>
  <si>
    <t>Scenario</t>
  </si>
  <si>
    <t>NPV</t>
  </si>
  <si>
    <t>IRR</t>
  </si>
  <si>
    <t>WACC</t>
  </si>
  <si>
    <t>Tax Rate</t>
  </si>
  <si>
    <t>Corp tax</t>
  </si>
  <si>
    <t>Base</t>
  </si>
  <si>
    <t>Downside</t>
  </si>
  <si>
    <t>Stress</t>
  </si>
  <si>
    <t>Note:-</t>
  </si>
  <si>
    <t>The Value in this Asumption Table can be manipulated according to need and output will be visible in the Output table</t>
  </si>
  <si>
    <t>Key Output</t>
  </si>
  <si>
    <t>BV at Delivery</t>
  </si>
  <si>
    <t>MV at Delivery</t>
  </si>
  <si>
    <t>Year-1 Rent</t>
  </si>
  <si>
    <t>Residual @ Lease End</t>
  </si>
  <si>
    <t>Project NPV</t>
  </si>
  <si>
    <t>Project IRR</t>
  </si>
  <si>
    <t>Scenario Table</t>
  </si>
  <si>
    <t>MAF</t>
  </si>
  <si>
    <t>LRF Mult</t>
  </si>
  <si>
    <t>WACC Adj</t>
  </si>
  <si>
    <t>Year</t>
  </si>
  <si>
    <t>Age</t>
  </si>
  <si>
    <t>Base Value Depreciation</t>
  </si>
  <si>
    <t>BV0(Base Value at the beginning)</t>
  </si>
  <si>
    <t>k(Euler's Number):- Exponential</t>
  </si>
  <si>
    <t>BV1</t>
  </si>
  <si>
    <t>BVt/BV0=e^-kt</t>
  </si>
  <si>
    <t>ln(BVt/BV0)=-kt</t>
  </si>
  <si>
    <t>k=-LN(BV1/BV0)/1 as t=1</t>
  </si>
  <si>
    <t>To calculate Depreciation, exponential methos is used when ever the value is less than 45% of original BV.
In case if depreciation is more than 45% of BV0, 45% of BV0  is considered as depreciation</t>
  </si>
  <si>
    <t>Impact of Market Assumption Factor (MAF) on MV and RV in different senarios</t>
  </si>
  <si>
    <t>Base Value</t>
  </si>
  <si>
    <t>Market Value</t>
  </si>
  <si>
    <t>Impact of LRF on Lease in different senarios</t>
  </si>
  <si>
    <t>LRF Used</t>
  </si>
  <si>
    <t>Lease Rent</t>
  </si>
  <si>
    <t>Cash Flow Generated From Lease In Different Scenarios</t>
  </si>
  <si>
    <t>Maint Reserves</t>
  </si>
  <si>
    <t>Sale Proceeds</t>
  </si>
  <si>
    <t>Puchase</t>
  </si>
  <si>
    <t>Net Cashflow</t>
  </si>
  <si>
    <t>Total Cash Generated</t>
  </si>
  <si>
    <t>WACC Calculation</t>
  </si>
  <si>
    <t>Metric</t>
  </si>
  <si>
    <t>Values (Pct)</t>
  </si>
  <si>
    <t>Equity Ratio</t>
  </si>
  <si>
    <t>Discounted Cash Flow</t>
  </si>
  <si>
    <t>NPV(Net Present Value)</t>
  </si>
  <si>
    <t>IRR(Internal Rate Of Return)</t>
  </si>
  <si>
    <t>Summary Table</t>
  </si>
  <si>
    <t>Condition</t>
  </si>
  <si>
    <t>Interpretation</t>
  </si>
  <si>
    <t>IRR &gt; WACC</t>
  </si>
  <si>
    <t>Value is created; the investment earns returns above the required cost of capital</t>
  </si>
  <si>
    <t>IRR = WACC</t>
  </si>
  <si>
    <t>Break-even / fairly priced; no economic value is created or destroyed</t>
  </si>
  <si>
    <t>IRR &lt; WACC</t>
  </si>
  <si>
    <t>Value is destroyed; returns are insufficient to compensate capital providers</t>
  </si>
  <si>
    <t>Dashboard &gt;&gt;&gt;</t>
  </si>
  <si>
    <t>BV</t>
  </si>
  <si>
    <t>MV(Market Value)</t>
  </si>
  <si>
    <t>Residual</t>
  </si>
  <si>
    <t>Beta</t>
  </si>
  <si>
    <t>Eular Constant(k)</t>
  </si>
  <si>
    <t>LN(BV(1)/BV0</t>
  </si>
  <si>
    <t>Max of Exponential Depreciation or 45 % of BV0</t>
  </si>
  <si>
    <t>Depriciation/Residual</t>
  </si>
  <si>
    <t>Market Assumption</t>
  </si>
  <si>
    <t xml:space="preserve">Risk Free Rate </t>
  </si>
  <si>
    <t>Gvt Bonds</t>
  </si>
  <si>
    <t>ERP</t>
  </si>
  <si>
    <t>CM</t>
  </si>
  <si>
    <t>Equity Risk Premium(Market)</t>
  </si>
  <si>
    <t>Credit Margin/Spread(Secured Debt)</t>
  </si>
  <si>
    <t>Assets Specific Assumptions</t>
  </si>
  <si>
    <t>ARP(Assets Risk Premium)</t>
  </si>
  <si>
    <t>RVP(Residual Value Premium)</t>
  </si>
  <si>
    <t>Assets/Business Risk(Aviation Cyclicality)</t>
  </si>
  <si>
    <t>Long-dated Exit Risk</t>
  </si>
  <si>
    <t>LP (Liquidity Premium)</t>
  </si>
  <si>
    <t>Downtime Risk</t>
  </si>
  <si>
    <t>AF(Annuity Factor)</t>
  </si>
  <si>
    <t>PV of Residual</t>
  </si>
  <si>
    <t>BV0(Base Value)</t>
  </si>
  <si>
    <t>Policy Assumption</t>
  </si>
  <si>
    <t>Depreciation Period</t>
  </si>
  <si>
    <t>Aircraft Lease/Rent</t>
  </si>
  <si>
    <t>Net Residual Value</t>
  </si>
  <si>
    <t>Present value of residual</t>
  </si>
  <si>
    <t>Hybrid</t>
  </si>
  <si>
    <t>Target Capital Structure</t>
  </si>
  <si>
    <t>Annual Rent</t>
  </si>
  <si>
    <t>AF</t>
  </si>
  <si>
    <t>PVR</t>
  </si>
  <si>
    <t>WACC Sensitivity</t>
  </si>
  <si>
    <t>Cash Flow</t>
  </si>
  <si>
    <t>0 Year</t>
  </si>
  <si>
    <t>1 Year</t>
  </si>
  <si>
    <t>2 Year</t>
  </si>
  <si>
    <t>3 Year</t>
  </si>
  <si>
    <t>4 Year</t>
  </si>
  <si>
    <t>5 Year</t>
  </si>
  <si>
    <t>6 Year</t>
  </si>
  <si>
    <t>7 Year</t>
  </si>
  <si>
    <t>8 Year</t>
  </si>
  <si>
    <t>9 Year</t>
  </si>
  <si>
    <t>10 Year</t>
  </si>
  <si>
    <t>11 Year</t>
  </si>
  <si>
    <t>12 Year</t>
  </si>
  <si>
    <t>Total Cash Flow</t>
  </si>
  <si>
    <t>Rent (In Flow)</t>
  </si>
  <si>
    <t>Actual Residual</t>
  </si>
  <si>
    <t>Discounted Resid</t>
  </si>
  <si>
    <t>-</t>
  </si>
  <si>
    <t>Discounted Rent</t>
  </si>
  <si>
    <t>Cash Out Flow(CapEx)</t>
  </si>
  <si>
    <t xml:space="preserve">WACC </t>
  </si>
  <si>
    <t>LRF &gt;&gt;</t>
  </si>
  <si>
    <t>NPV&gt;&gt;</t>
  </si>
  <si>
    <t>Aircraft Valuation Model – Detailed Executive Summary</t>
  </si>
  <si>
    <t>1. Overview of the Valuation Framework</t>
  </si>
  <si>
    <t>This aircraft valuation model has been developed using a discounted cash flow (DCF) framework consistent with industry practice in aircraft leasing, structured finance, and investment committee (IC) review. The objective of the model is to assess whether the assumed lease rental profile and residual value assumptions generate a return that meets the required cost of capital. The valuation is performed on a single-aircraft basis and reflects a long-term ownership perspective. The model explicitly forecasts contractual lease rental cash flows over the lease tenor and incorporates a terminal residual value at lease expiry, both of which are discounted using the assumed weighted average cost of capital (WACC).</t>
  </si>
  <si>
    <t>2. Aircraft, Pricing, and Transaction Assumptions</t>
  </si>
  <si>
    <t>The aircraft acquisition value used in the model is derived from the manufacturer list price and adjusted to reflect prevailing market conditions. These adjustments include a market discount to account for negotiated transaction pricing and a model factor to reflect the aircraft’s technical configuration, market liquidity, and relative demand within its segment. The resulting base value is intended to represent a realistic purchase price rather than a theoretical or headline figure. The valuation assumes acquisition at this base value at time zero.</t>
  </si>
  <si>
    <t>3. Lease Revenue and Maintenance Reserve Assumptions</t>
  </si>
  <si>
    <t>Lease revenue is modeled as a fixed annual rental amount over the lease term. The annual rent is expressed and analysed through the lease rate factor (LRF), defined as annual rent as a percentage of aircraft value. Maintenance reserves are excluded from economic value creation in the model and are assumed to be broadly cash-neutral over the life of the asset. This treatment reflects standard lessor practice, whereby maintenance reserves are collected to fund future maintenance events and do not represent incremental return to equity.</t>
  </si>
  <si>
    <t>4. Discount Rate and Financial Assumptions</t>
  </si>
  <si>
    <t>All cash flows are discounted using a single WACC, which represents the target return required by investors for the risk profile of the asset. The WACC is applied consistently to lease rental cash flows and the terminal residual value. Discounting is performed on an annual basis using end-of-period conventions. The WACC is treated as an exogenous input and is independently tested through sensitivity analysis to assess exposure to capital market conditions.</t>
  </si>
  <si>
    <t>5. Depreciation Methodology and Residual Value Logic</t>
  </si>
  <si>
    <t>The model applies an economic depreciation framework rather than accounting depreciation. Aircraft value decay is driven by age, utilization, technological obsolescence, and market dynamics. Residual value at lease expiry is estimated based on expected market value at the end of the lease term. A selling cost assumption is applied to derive a net realizable residual value, which is then discounted back to present value using the WACC. This approach ensures that exit value assumptions are conservative, transparent, and aligned with observed secondary market behavior.</t>
  </si>
  <si>
    <t>6. Valuation Methodology</t>
  </si>
  <si>
    <t>The enterprise value of the aircraft is calculated as the sum of the present value of lease rental cash flows and the present value of the net residual value. Lease rentals are discounted using an annuity factor derived from the WACC and lease tenor, while the residual value is discounted as a single terminal cash flow. The initial investment outlay is compared against the discounted cash inflows to derive net present value (NPV) and internal rate of return (IRR). The model is calibrated such that the base-case NPV is approximately zero.</t>
  </si>
  <si>
    <t>7. Base-Case Results and Interpretation</t>
  </si>
  <si>
    <t>Under base-case assumptions, the model produces an NPV close to zero and an IRR that aligns with the assumed WACC. This outcome indicates that the lease rental level is appropriately calibrated to recover the aircraft acquisition cost and generate the required return. The implied LRF is consistent with current market benchmarks for comparable aircraft, supporting the conclusion that the valuation reflects fair market pricing rather than an arbitrage scenario.</t>
  </si>
  <si>
    <t>8. Sensitivity Analysis and Risk Assessment</t>
  </si>
  <si>
    <t>Sensitivity analysis has been performed on the key valuation drivers, including WACC, LRF, and residual value. The WACC sensitivity demonstrates the model’s exposure to capital market conditions, with higher discount rates having a disproportionate impact on long-dated residual cash flows. LRF sensitivity highlights commercial placement risk, showing the impact of lease pricing deviations from market levels. Residual value sensitivity confirms exit value risk as one of the primary determinants of long-term aircraft economics.</t>
  </si>
  <si>
    <t>9. Overall Conclusion</t>
  </si>
  <si>
    <t>The aircraft valuation model is internally consistent, transparent, and aligned with industry best practice. The assumptions, depreciation logic, and sensitivity results provide a clear view of both base-case economics and downside risk exposure. The model is suitable for use in investment committee review, credit assessment, and client-facing valuation support.</t>
  </si>
  <si>
    <r>
      <rPr>
        <b/>
        <sz val="14"/>
        <color rgb="FF002060"/>
        <rFont val="Calibri"/>
        <family val="2"/>
        <scheme val="minor"/>
      </rPr>
      <t>IRR</t>
    </r>
    <r>
      <rPr>
        <b/>
        <sz val="11"/>
        <color theme="1"/>
        <rFont val="Calibri"/>
        <family val="2"/>
        <scheme val="minor"/>
      </rPr>
      <t xml:space="preserve"> Sensitivity with LRF and NPV</t>
    </r>
  </si>
  <si>
    <r>
      <rPr>
        <b/>
        <sz val="14"/>
        <color rgb="FF002060"/>
        <rFont val="Calibri"/>
        <family val="2"/>
        <scheme val="minor"/>
      </rPr>
      <t>Residual</t>
    </r>
    <r>
      <rPr>
        <b/>
        <sz val="11"/>
        <color theme="1"/>
        <rFont val="Calibri"/>
        <family val="2"/>
        <scheme val="minor"/>
      </rPr>
      <t xml:space="preserve"> Sensitivity with WACC and LRF</t>
    </r>
  </si>
  <si>
    <t>45% of BV0</t>
  </si>
  <si>
    <t>Rsidual Floor %</t>
  </si>
  <si>
    <t>Depreciation</t>
  </si>
  <si>
    <t>Discounted Depreciation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</si>
</sst>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Red]&quot;₹&quot;\ \-#,##0"/>
    <numFmt numFmtId="165" formatCode="&quot;₹&quot;\ #,##0.00;[Red]&quot;₹&quot;\ \-#,##0.00"/>
    <numFmt numFmtId="166" formatCode="0.0000%"/>
    <numFmt numFmtId="167" formatCode="0.0%"/>
    <numFmt numFmtId="168" formatCode="0.0"/>
  </numFmts>
  <fonts count="23">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1"/>
      <name val="Calibri"/>
      <family val="2"/>
    </font>
    <font>
      <b/>
      <sz val="12"/>
      <color theme="1"/>
      <name val="Calibri"/>
      <family val="2"/>
      <scheme val="minor"/>
    </font>
    <font>
      <b/>
      <sz val="14"/>
      <color theme="0"/>
      <name val="Calibri"/>
      <family val="2"/>
      <scheme val="minor"/>
    </font>
    <font>
      <b/>
      <sz val="11"/>
      <color theme="0"/>
      <name val="Calibri"/>
      <family val="2"/>
      <scheme val="minor"/>
    </font>
    <font>
      <b/>
      <sz val="18"/>
      <color theme="0"/>
      <name val="Calibri (Body)"/>
    </font>
    <font>
      <sz val="11"/>
      <color theme="0"/>
      <name val="Calibri (Body)"/>
    </font>
    <font>
      <b/>
      <sz val="14"/>
      <color theme="0"/>
      <name val="Calibri (Body)"/>
    </font>
    <font>
      <b/>
      <sz val="12"/>
      <color theme="0"/>
      <name val="Calibri (Body)"/>
    </font>
    <font>
      <b/>
      <sz val="11"/>
      <color theme="0"/>
      <name val="Calibri (Body)"/>
    </font>
    <font>
      <b/>
      <sz val="16"/>
      <color theme="0"/>
      <name val="Calibri (Body)"/>
    </font>
    <font>
      <b/>
      <sz val="11"/>
      <color theme="0"/>
      <name val="Calibri"/>
      <family val="2"/>
    </font>
    <font>
      <sz val="11"/>
      <color theme="0"/>
      <name val="Calibri"/>
      <family val="2"/>
      <scheme val="minor"/>
    </font>
    <font>
      <b/>
      <sz val="12"/>
      <color theme="0"/>
      <name val="Calibri"/>
      <family val="2"/>
    </font>
    <font>
      <sz val="8"/>
      <name val="Calibri"/>
      <family val="2"/>
      <scheme val="minor"/>
    </font>
    <font>
      <i/>
      <sz val="11"/>
      <color theme="1"/>
      <name val="Calibri"/>
      <family val="2"/>
      <scheme val="minor"/>
    </font>
    <font>
      <b/>
      <sz val="18"/>
      <color theme="0"/>
      <name val="Calibri"/>
      <family val="2"/>
    </font>
    <font>
      <b/>
      <sz val="14"/>
      <color rgb="FF002060"/>
      <name val="Calibri"/>
      <family val="2"/>
      <scheme val="minor"/>
    </font>
    <font>
      <sz val="11"/>
      <name val="Calibri (Body)"/>
    </font>
    <font>
      <b/>
      <sz val="12"/>
      <name val="Calibri (Body)"/>
    </font>
  </fonts>
  <fills count="8">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0"/>
        <bgColor indexed="64"/>
      </patternFill>
    </fill>
    <fill>
      <patternFill patternType="solid">
        <fgColor rgb="FFFFFFBA"/>
        <bgColor indexed="64"/>
      </patternFill>
    </fill>
    <fill>
      <patternFill patternType="solid">
        <fgColor theme="0" tint="-0.34998626667073579"/>
        <bgColor indexed="64"/>
      </patternFill>
    </fill>
  </fills>
  <borders count="11">
    <border>
      <left/>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bottom style="thin">
        <color theme="0" tint="-0.14993743705557422"/>
      </bottom>
      <diagonal/>
    </border>
    <border>
      <left/>
      <right/>
      <top/>
      <bottom style="thin">
        <color indexed="64"/>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9" fontId="2" fillId="0" borderId="0"/>
  </cellStyleXfs>
  <cellXfs count="125">
    <xf numFmtId="0" fontId="0" fillId="0" borderId="0" xfId="0"/>
    <xf numFmtId="0" fontId="0" fillId="0" borderId="0" xfId="0" applyAlignment="1">
      <alignment vertical="top" wrapText="1"/>
    </xf>
    <xf numFmtId="0" fontId="3" fillId="0" borderId="0" xfId="0" applyFont="1" applyAlignment="1">
      <alignment vertical="center"/>
    </xf>
    <xf numFmtId="0" fontId="3" fillId="0" borderId="0" xfId="0" applyFont="1"/>
    <xf numFmtId="0" fontId="0" fillId="0" borderId="1" xfId="0" applyBorder="1" applyAlignment="1">
      <alignment horizontal="center" vertical="center"/>
    </xf>
    <xf numFmtId="0" fontId="3" fillId="0" borderId="1" xfId="0" applyFont="1" applyBorder="1"/>
    <xf numFmtId="9" fontId="0" fillId="0" borderId="0" xfId="0" applyNumberFormat="1"/>
    <xf numFmtId="1" fontId="0" fillId="0" borderId="0" xfId="0" applyNumberFormat="1"/>
    <xf numFmtId="0" fontId="3" fillId="0" borderId="0" xfId="0" applyFont="1" applyAlignment="1">
      <alignment horizontal="left"/>
    </xf>
    <xf numFmtId="166" fontId="0" fillId="0" borderId="0" xfId="0" applyNumberFormat="1"/>
    <xf numFmtId="0" fontId="9" fillId="4" borderId="0" xfId="0" applyFont="1" applyFill="1"/>
    <xf numFmtId="0" fontId="10" fillId="4" borderId="0" xfId="0" applyFont="1" applyFill="1" applyAlignment="1">
      <alignment horizontal="center"/>
    </xf>
    <xf numFmtId="0" fontId="7" fillId="4" borderId="1" xfId="0" applyFont="1" applyFill="1" applyBorder="1" applyAlignment="1">
      <alignment horizontal="center" vertical="center"/>
    </xf>
    <xf numFmtId="0" fontId="0" fillId="0" borderId="0" xfId="0" applyAlignment="1">
      <alignment horizontal="left" vertical="center" wrapText="1"/>
    </xf>
    <xf numFmtId="0" fontId="16" fillId="4" borderId="0" xfId="0" applyFont="1" applyFill="1" applyAlignment="1">
      <alignment horizontal="center" vertical="center"/>
    </xf>
    <xf numFmtId="167" fontId="0" fillId="0" borderId="0" xfId="0" applyNumberFormat="1"/>
    <xf numFmtId="167" fontId="0" fillId="0" borderId="0" xfId="1" applyNumberFormat="1" applyFont="1"/>
    <xf numFmtId="0" fontId="4" fillId="2" borderId="0" xfId="0" applyFont="1" applyFill="1" applyAlignment="1">
      <alignment horizontal="center" vertical="center"/>
    </xf>
    <xf numFmtId="0" fontId="13" fillId="4" borderId="0" xfId="0" applyFont="1" applyFill="1"/>
    <xf numFmtId="0" fontId="0" fillId="0" borderId="0" xfId="0" applyAlignment="1">
      <alignment horizontal="center" vertical="center"/>
    </xf>
    <xf numFmtId="0" fontId="0" fillId="0" borderId="0" xfId="0" applyAlignment="1">
      <alignment horizontal="center"/>
    </xf>
    <xf numFmtId="0" fontId="1" fillId="7" borderId="7" xfId="0" applyFont="1" applyFill="1" applyBorder="1" applyAlignment="1">
      <alignment horizontal="center" vertical="center"/>
    </xf>
    <xf numFmtId="0" fontId="3" fillId="7" borderId="8" xfId="0" applyFont="1" applyFill="1" applyBorder="1" applyAlignment="1">
      <alignment horizontal="center"/>
    </xf>
    <xf numFmtId="0" fontId="3" fillId="7" borderId="9" xfId="0" applyFont="1" applyFill="1" applyBorder="1" applyAlignment="1">
      <alignment horizontal="center"/>
    </xf>
    <xf numFmtId="0" fontId="0" fillId="0" borderId="4" xfId="0" applyBorder="1" applyAlignment="1">
      <alignment horizontal="center" vertical="center"/>
    </xf>
    <xf numFmtId="1" fontId="0" fillId="0" borderId="5" xfId="0" applyNumberFormat="1" applyBorder="1"/>
    <xf numFmtId="0" fontId="0" fillId="0" borderId="10" xfId="0" applyBorder="1" applyAlignment="1">
      <alignment horizontal="center" vertical="center"/>
    </xf>
    <xf numFmtId="1" fontId="0" fillId="0" borderId="3" xfId="0" applyNumberFormat="1" applyBorder="1"/>
    <xf numFmtId="1" fontId="0" fillId="0" borderId="6" xfId="0" applyNumberFormat="1" applyBorder="1"/>
    <xf numFmtId="0" fontId="11" fillId="4" borderId="0" xfId="0" applyFont="1" applyFill="1" applyAlignment="1">
      <alignment horizontal="center" vertical="center"/>
    </xf>
    <xf numFmtId="0" fontId="5" fillId="2" borderId="0" xfId="0" applyFont="1" applyFill="1"/>
    <xf numFmtId="1" fontId="5" fillId="2" borderId="0" xfId="0" applyNumberFormat="1" applyFont="1" applyFill="1"/>
    <xf numFmtId="0" fontId="5" fillId="0" borderId="0" xfId="0" applyFont="1"/>
    <xf numFmtId="1" fontId="5" fillId="0" borderId="0" xfId="0" applyNumberFormat="1" applyFont="1"/>
    <xf numFmtId="0" fontId="11" fillId="4" borderId="0" xfId="0" applyFont="1" applyFill="1" applyAlignment="1">
      <alignment horizontal="center"/>
    </xf>
    <xf numFmtId="1" fontId="11" fillId="4" borderId="0" xfId="0" applyNumberFormat="1" applyFont="1" applyFill="1" applyAlignment="1">
      <alignment horizontal="center"/>
    </xf>
    <xf numFmtId="0" fontId="12" fillId="4" borderId="0" xfId="0" applyFont="1" applyFill="1" applyAlignment="1">
      <alignment horizontal="center"/>
    </xf>
    <xf numFmtId="0" fontId="3" fillId="2" borderId="0" xfId="0" applyFont="1" applyFill="1"/>
    <xf numFmtId="9" fontId="0" fillId="0" borderId="0" xfId="1" applyFont="1" applyAlignment="1">
      <alignment horizontal="center"/>
    </xf>
    <xf numFmtId="167" fontId="3" fillId="2" borderId="0" xfId="0" applyNumberFormat="1" applyFont="1" applyFill="1" applyAlignment="1">
      <alignment horizontal="center"/>
    </xf>
    <xf numFmtId="0" fontId="12" fillId="4" borderId="0" xfId="0" applyFont="1" applyFill="1" applyAlignment="1">
      <alignment horizontal="left"/>
    </xf>
    <xf numFmtId="1" fontId="0" fillId="0" borderId="0" xfId="0" applyNumberFormat="1" applyAlignment="1">
      <alignment horizontal="center" vertical="center"/>
    </xf>
    <xf numFmtId="0" fontId="11" fillId="4" borderId="0" xfId="0" applyFont="1" applyFill="1" applyAlignment="1">
      <alignment horizontal="left" vertical="center"/>
    </xf>
    <xf numFmtId="0" fontId="3" fillId="0" borderId="0" xfId="0" applyFont="1" applyAlignment="1">
      <alignment horizontal="left" vertical="center"/>
    </xf>
    <xf numFmtId="0" fontId="12" fillId="4" borderId="0" xfId="0" applyFont="1" applyFill="1" applyAlignment="1">
      <alignment horizontal="center" vertical="center"/>
    </xf>
    <xf numFmtId="0" fontId="3" fillId="2" borderId="0" xfId="0" applyFont="1" applyFill="1" applyAlignment="1">
      <alignment horizontal="center" vertical="center" wrapText="1"/>
    </xf>
    <xf numFmtId="0" fontId="3" fillId="0" borderId="0" xfId="0" applyFont="1" applyAlignment="1">
      <alignment vertical="center" wrapText="1"/>
    </xf>
    <xf numFmtId="0" fontId="3" fillId="2" borderId="0" xfId="0" applyFont="1" applyFill="1" applyAlignment="1">
      <alignment horizontal="left" vertical="center" wrapText="1"/>
    </xf>
    <xf numFmtId="0" fontId="12" fillId="4" borderId="0" xfId="0" applyFont="1" applyFill="1" applyAlignment="1">
      <alignment horizontal="left" vertical="center"/>
    </xf>
    <xf numFmtId="0" fontId="6" fillId="4" borderId="0" xfId="0" applyFont="1" applyFill="1" applyAlignment="1">
      <alignment horizontal="left" indent="1"/>
    </xf>
    <xf numFmtId="0" fontId="15" fillId="4" borderId="0" xfId="0" applyFont="1" applyFill="1"/>
    <xf numFmtId="0" fontId="14" fillId="4" borderId="0" xfId="0" applyFont="1" applyFill="1" applyAlignment="1">
      <alignment horizontal="center" vertical="center"/>
    </xf>
    <xf numFmtId="0" fontId="15" fillId="0" borderId="0" xfId="0" applyFont="1"/>
    <xf numFmtId="0" fontId="0" fillId="2" borderId="0" xfId="0" applyFill="1" applyAlignment="1">
      <alignment horizontal="center"/>
    </xf>
    <xf numFmtId="0" fontId="4"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Alignment="1">
      <alignment horizontal="left"/>
    </xf>
    <xf numFmtId="0" fontId="0" fillId="3" borderId="0" xfId="0" applyFill="1"/>
    <xf numFmtId="0" fontId="10" fillId="4" borderId="0" xfId="0" applyFont="1" applyFill="1"/>
    <xf numFmtId="0" fontId="0" fillId="3" borderId="0" xfId="0" applyFill="1" applyAlignment="1">
      <alignment horizontal="right"/>
    </xf>
    <xf numFmtId="1" fontId="0" fillId="3" borderId="0" xfId="0" applyNumberFormat="1" applyFill="1" applyAlignment="1">
      <alignment horizontal="right"/>
    </xf>
    <xf numFmtId="0" fontId="0" fillId="0" borderId="0" xfId="0" applyAlignment="1">
      <alignment horizontal="right"/>
    </xf>
    <xf numFmtId="1" fontId="0" fillId="0" borderId="0" xfId="0" applyNumberFormat="1" applyAlignment="1">
      <alignment horizontal="right"/>
    </xf>
    <xf numFmtId="0" fontId="11" fillId="0" borderId="0" xfId="0" applyFont="1" applyAlignment="1">
      <alignment horizontal="center"/>
    </xf>
    <xf numFmtId="1" fontId="11" fillId="0" borderId="0" xfId="0" applyNumberFormat="1" applyFont="1" applyAlignment="1">
      <alignment horizontal="center"/>
    </xf>
    <xf numFmtId="0" fontId="0" fillId="6" borderId="0" xfId="0" applyFill="1" applyAlignment="1">
      <alignment horizontal="center" vertical="center"/>
    </xf>
    <xf numFmtId="0" fontId="0" fillId="0" borderId="0" xfId="0" applyAlignment="1">
      <alignment horizontal="center" wrapText="1"/>
    </xf>
    <xf numFmtId="1" fontId="0" fillId="6" borderId="0" xfId="0" applyNumberFormat="1" applyFill="1" applyAlignment="1">
      <alignment horizontal="center" vertical="center"/>
    </xf>
    <xf numFmtId="2" fontId="0" fillId="6" borderId="0" xfId="0" applyNumberFormat="1" applyFill="1" applyAlignment="1">
      <alignment horizontal="center" vertical="center"/>
    </xf>
    <xf numFmtId="0" fontId="0" fillId="0" borderId="0" xfId="0" applyAlignment="1">
      <alignment horizontal="center" vertical="center" wrapText="1"/>
    </xf>
    <xf numFmtId="0" fontId="0" fillId="0" borderId="0" xfId="0" applyAlignment="1">
      <alignment vertical="center"/>
    </xf>
    <xf numFmtId="10" fontId="0" fillId="0" borderId="0" xfId="1" applyNumberFormat="1" applyFont="1" applyAlignment="1">
      <alignment horizontal="center"/>
    </xf>
    <xf numFmtId="167" fontId="2" fillId="0" borderId="0" xfId="1" applyNumberFormat="1" applyAlignment="1">
      <alignment horizontal="center"/>
    </xf>
    <xf numFmtId="10" fontId="2" fillId="6" borderId="0" xfId="1" applyNumberFormat="1" applyFill="1" applyAlignment="1">
      <alignment horizontal="center" vertical="center"/>
    </xf>
    <xf numFmtId="10" fontId="0" fillId="0" borderId="0" xfId="0" applyNumberFormat="1" applyAlignment="1">
      <alignment horizontal="center" vertical="center"/>
    </xf>
    <xf numFmtId="10" fontId="0" fillId="0" borderId="0" xfId="1" applyNumberFormat="1" applyFont="1" applyAlignment="1">
      <alignment horizontal="center" vertical="center"/>
    </xf>
    <xf numFmtId="165" fontId="0" fillId="0" borderId="0" xfId="0" applyNumberFormat="1"/>
    <xf numFmtId="10" fontId="2" fillId="0" borderId="0" xfId="1" applyNumberFormat="1"/>
    <xf numFmtId="10" fontId="0" fillId="0" borderId="0" xfId="1" applyNumberFormat="1" applyFont="1"/>
    <xf numFmtId="0" fontId="0" fillId="0" borderId="0" xfId="0" applyAlignment="1">
      <alignment vertical="center" wrapText="1"/>
    </xf>
    <xf numFmtId="165" fontId="0" fillId="0" borderId="0" xfId="0" applyNumberFormat="1" applyAlignment="1">
      <alignment vertical="center" wrapText="1"/>
    </xf>
    <xf numFmtId="1" fontId="2" fillId="0" borderId="0" xfId="1" applyNumberFormat="1"/>
    <xf numFmtId="2" fontId="3" fillId="0" borderId="0" xfId="0" applyNumberFormat="1" applyFont="1"/>
    <xf numFmtId="0" fontId="1" fillId="2" borderId="0" xfId="0" applyFont="1" applyFill="1" applyAlignment="1">
      <alignment horizontal="center" vertical="center"/>
    </xf>
    <xf numFmtId="10" fontId="4" fillId="2" borderId="0" xfId="0" applyNumberFormat="1" applyFont="1" applyFill="1" applyAlignment="1">
      <alignment horizontal="center" vertical="center"/>
    </xf>
    <xf numFmtId="10" fontId="0" fillId="0" borderId="0" xfId="0" applyNumberFormat="1"/>
    <xf numFmtId="0" fontId="18" fillId="0" borderId="0" xfId="0" applyFont="1"/>
    <xf numFmtId="0" fontId="2" fillId="6" borderId="0" xfId="1" applyNumberFormat="1" applyFill="1" applyAlignment="1">
      <alignment horizontal="center" vertical="center"/>
    </xf>
    <xf numFmtId="3" fontId="0" fillId="0" borderId="0" xfId="0" applyNumberFormat="1"/>
    <xf numFmtId="0" fontId="7" fillId="4" borderId="0" xfId="0" applyFont="1" applyFill="1"/>
    <xf numFmtId="0" fontId="7" fillId="4" borderId="0" xfId="0" applyFont="1" applyFill="1" applyAlignment="1">
      <alignment horizontal="right"/>
    </xf>
    <xf numFmtId="3" fontId="0" fillId="0" borderId="0" xfId="0" applyNumberFormat="1" applyAlignment="1">
      <alignment horizontal="right" vertical="center"/>
    </xf>
    <xf numFmtId="10" fontId="2" fillId="0" borderId="0" xfId="1" applyNumberFormat="1" applyAlignment="1">
      <alignment horizontal="right"/>
    </xf>
    <xf numFmtId="0" fontId="14" fillId="4" borderId="0" xfId="0" applyFont="1" applyFill="1" applyAlignment="1">
      <alignment horizontal="right" vertical="center"/>
    </xf>
    <xf numFmtId="10" fontId="15" fillId="4" borderId="0" xfId="1" applyNumberFormat="1" applyFont="1" applyFill="1" applyAlignment="1">
      <alignment horizontal="center"/>
    </xf>
    <xf numFmtId="168" fontId="2" fillId="0" borderId="0" xfId="1" applyNumberFormat="1" applyAlignment="1">
      <alignment horizontal="right"/>
    </xf>
    <xf numFmtId="1" fontId="0" fillId="0" borderId="0" xfId="0" applyNumberFormat="1" applyAlignment="1">
      <alignment horizontal="right" vertical="center" wrapText="1"/>
    </xf>
    <xf numFmtId="167" fontId="2" fillId="0" borderId="0" xfId="1" applyNumberFormat="1" applyAlignment="1">
      <alignment horizontal="right"/>
    </xf>
    <xf numFmtId="164" fontId="0" fillId="0" borderId="0" xfId="0" applyNumberFormat="1" applyAlignment="1">
      <alignment horizontal="right" vertical="center" wrapText="1"/>
    </xf>
    <xf numFmtId="10" fontId="7" fillId="4" borderId="0" xfId="0" applyNumberFormat="1" applyFont="1" applyFill="1" applyAlignment="1">
      <alignment horizontal="center" vertical="center"/>
    </xf>
    <xf numFmtId="3" fontId="7" fillId="4" borderId="0" xfId="0" applyNumberFormat="1" applyFont="1" applyFill="1" applyAlignment="1">
      <alignment horizontal="right" vertical="center"/>
    </xf>
    <xf numFmtId="167" fontId="7" fillId="4" borderId="0" xfId="1" applyNumberFormat="1" applyFont="1" applyFill="1" applyAlignment="1">
      <alignment horizontal="center"/>
    </xf>
    <xf numFmtId="3" fontId="15" fillId="4" borderId="0" xfId="0" applyNumberFormat="1" applyFont="1" applyFill="1" applyAlignment="1">
      <alignment horizontal="center" vertical="center"/>
    </xf>
    <xf numFmtId="10" fontId="7" fillId="4" borderId="0" xfId="1" applyNumberFormat="1" applyFont="1" applyFill="1" applyAlignment="1">
      <alignment horizontal="right" vertical="center"/>
    </xf>
    <xf numFmtId="3" fontId="0" fillId="0" borderId="0" xfId="0" applyNumberFormat="1" applyAlignment="1">
      <alignment horizontal="right"/>
    </xf>
    <xf numFmtId="0" fontId="19" fillId="4" borderId="0" xfId="0" applyFont="1" applyFill="1"/>
    <xf numFmtId="0" fontId="0" fillId="4" borderId="0" xfId="0" applyFill="1"/>
    <xf numFmtId="0" fontId="21" fillId="0" borderId="0" xfId="0" applyFont="1"/>
    <xf numFmtId="0" fontId="22" fillId="0" borderId="0" xfId="0" applyFont="1"/>
    <xf numFmtId="0" fontId="21" fillId="0" borderId="0" xfId="0" applyFont="1" applyAlignment="1">
      <alignment vertical="top" wrapText="1"/>
    </xf>
    <xf numFmtId="0" fontId="10" fillId="4" borderId="0" xfId="0" applyFont="1" applyFill="1" applyAlignment="1">
      <alignment horizontal="center" vertical="center"/>
    </xf>
    <xf numFmtId="0" fontId="0" fillId="0" borderId="0" xfId="0"/>
    <xf numFmtId="0" fontId="7" fillId="4" borderId="0" xfId="0" applyFont="1" applyFill="1" applyAlignment="1">
      <alignment horizontal="center" vertical="center"/>
    </xf>
    <xf numFmtId="0" fontId="7" fillId="4" borderId="0" xfId="0" applyFont="1" applyFill="1" applyAlignment="1">
      <alignment horizontal="center"/>
    </xf>
    <xf numFmtId="0" fontId="0" fillId="0" borderId="0" xfId="0" applyAlignment="1">
      <alignment horizontal="center" vertical="center" wrapText="1"/>
    </xf>
    <xf numFmtId="0" fontId="6" fillId="4" borderId="2" xfId="0" applyFont="1" applyFill="1" applyBorder="1" applyAlignment="1">
      <alignment horizontal="center"/>
    </xf>
    <xf numFmtId="0" fontId="0" fillId="0" borderId="2" xfId="0" applyBorder="1"/>
    <xf numFmtId="0" fontId="0" fillId="5" borderId="0" xfId="0" applyFill="1" applyAlignment="1">
      <alignment horizontal="left" vertical="top" wrapText="1"/>
    </xf>
    <xf numFmtId="0" fontId="10" fillId="4" borderId="0" xfId="0" applyFont="1" applyFill="1" applyAlignment="1">
      <alignment horizontal="center"/>
    </xf>
    <xf numFmtId="0" fontId="8" fillId="4" borderId="0" xfId="0" applyFont="1" applyFill="1" applyAlignment="1">
      <alignment horizontal="center"/>
    </xf>
    <xf numFmtId="0" fontId="3" fillId="0" borderId="0" xfId="0" applyFont="1" applyAlignment="1">
      <alignment horizontal="left"/>
    </xf>
    <xf numFmtId="1" fontId="0" fillId="0" borderId="0" xfId="0" applyNumberFormat="1"/>
    <xf numFmtId="0" fontId="12" fillId="4" borderId="0" xfId="0" applyFont="1" applyFill="1" applyAlignment="1">
      <alignment horizontal="center"/>
    </xf>
    <xf numFmtId="0" fontId="13" fillId="4" borderId="0" xfId="0" applyFont="1" applyFill="1" applyAlignment="1">
      <alignment horizontal="center"/>
    </xf>
    <xf numFmtId="0" fontId="3" fillId="0" borderId="0" xfId="0" applyFont="1" applyAlignment="1">
      <alignment horizontal="center"/>
    </xf>
  </cellXfs>
  <cellStyles count="2">
    <cellStyle name="Normal" xfId="0" builtinId="0"/>
    <cellStyle name="Percent" xfId="1" builtinId="5"/>
  </cellStyles>
  <dxfs count="0"/>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2000" b="0" i="0" strike="noStrike" kern="1200" spc="0" normalizeH="0" baseline="0">
                <a:solidFill>
                  <a:schemeClr val="tx1">
                    <a:lumMod val="65000"/>
                    <a:lumOff val="35000"/>
                  </a:schemeClr>
                </a:solidFill>
                <a:latin typeface="+mj-lt"/>
                <a:ea typeface="+mj-ea"/>
                <a:cs typeface="+mj-cs"/>
              </a:defRPr>
            </a:pPr>
            <a:r>
              <a:rPr lang="en-IN"/>
              <a:t>Change in the BV of Aircraft</a:t>
            </a:r>
          </a:p>
        </c:rich>
      </c:tx>
      <c:layout>
        <c:manualLayout>
          <c:xMode val="edge"/>
          <c:yMode val="edge"/>
          <c:x val="0.26841978866474542"/>
          <c:y val="1.751313485113835E-2"/>
        </c:manualLayout>
      </c:layout>
      <c:overlay val="0"/>
      <c:spPr>
        <a:noFill/>
        <a:ln>
          <a:noFill/>
          <a:prstDash val="solid"/>
        </a:ln>
      </c:spPr>
    </c:title>
    <c:autoTitleDeleted val="0"/>
    <c:plotArea>
      <c:layout/>
      <c:areaChart>
        <c:grouping val="standard"/>
        <c:varyColors val="0"/>
        <c:ser>
          <c:idx val="0"/>
          <c:order val="0"/>
          <c:tx>
            <c:strRef>
              <c:f>Base_Value!$B$1</c:f>
              <c:strCache>
                <c:ptCount val="1"/>
                <c:pt idx="0">
                  <c:v>Age</c:v>
                </c:pt>
              </c:strCache>
            </c:strRef>
          </c:tx>
          <c:spPr>
            <a:solidFill>
              <a:schemeClr val="accent1"/>
            </a:solidFill>
            <a:ln>
              <a:noFill/>
              <a:prstDash val="solid"/>
            </a:ln>
          </c:spPr>
          <c:val>
            <c:numRef>
              <c:f>Base_Value!$B$2:$B$27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val>
          <c:extLst>
            <c:ext xmlns:c16="http://schemas.microsoft.com/office/drawing/2014/chart" uri="{C3380CC4-5D6E-409C-BE32-E72D297353CC}">
              <c16:uniqueId val="{00000000-C2AB-4CE7-8190-DA3A68114D76}"/>
            </c:ext>
          </c:extLst>
        </c:ser>
        <c:dLbls>
          <c:showLegendKey val="0"/>
          <c:showVal val="0"/>
          <c:showCatName val="0"/>
          <c:showSerName val="0"/>
          <c:showPercent val="0"/>
          <c:showBubbleSize val="0"/>
        </c:dLbls>
        <c:axId val="10"/>
        <c:axId val="100"/>
      </c:areaChart>
      <c:lineChart>
        <c:grouping val="standard"/>
        <c:varyColors val="0"/>
        <c:ser>
          <c:idx val="1"/>
          <c:order val="1"/>
          <c:tx>
            <c:strRef>
              <c:f>Base_Value!$C$1</c:f>
              <c:strCache>
                <c:ptCount val="1"/>
                <c:pt idx="0">
                  <c:v>Base Value Depreciation</c:v>
                </c:pt>
              </c:strCache>
            </c:strRef>
          </c:tx>
          <c:spPr>
            <a:ln w="38100" cap="rnd">
              <a:solidFill>
                <a:schemeClr val="accent2"/>
              </a:solidFill>
              <a:prstDash val="solid"/>
              <a:round/>
            </a:ln>
          </c:spPr>
          <c:marker>
            <c:symbol val="none"/>
          </c:marker>
          <c:val>
            <c:numRef>
              <c:f>Base_Value!$C$2:$C$27</c:f>
              <c:numCache>
                <c:formatCode>0</c:formatCode>
                <c:ptCount val="26"/>
                <c:pt idx="0">
                  <c:v>45600000</c:v>
                </c:pt>
                <c:pt idx="1">
                  <c:v>38760000</c:v>
                </c:pt>
                <c:pt idx="2">
                  <c:v>32945999.999999996</c:v>
                </c:pt>
                <c:pt idx="3">
                  <c:v>28004099.999999996</c:v>
                </c:pt>
                <c:pt idx="4">
                  <c:v>23803484.999999996</c:v>
                </c:pt>
                <c:pt idx="5">
                  <c:v>20520000</c:v>
                </c:pt>
                <c:pt idx="6">
                  <c:v>20520000</c:v>
                </c:pt>
                <c:pt idx="7">
                  <c:v>20520000</c:v>
                </c:pt>
                <c:pt idx="8">
                  <c:v>20520000</c:v>
                </c:pt>
                <c:pt idx="9">
                  <c:v>20520000</c:v>
                </c:pt>
                <c:pt idx="10">
                  <c:v>20520000</c:v>
                </c:pt>
                <c:pt idx="11">
                  <c:v>20520000</c:v>
                </c:pt>
                <c:pt idx="12">
                  <c:v>20520000</c:v>
                </c:pt>
                <c:pt idx="13">
                  <c:v>20520000</c:v>
                </c:pt>
                <c:pt idx="14">
                  <c:v>20520000</c:v>
                </c:pt>
                <c:pt idx="15">
                  <c:v>20520000</c:v>
                </c:pt>
                <c:pt idx="16">
                  <c:v>20520000</c:v>
                </c:pt>
                <c:pt idx="17">
                  <c:v>20520000</c:v>
                </c:pt>
                <c:pt idx="18">
                  <c:v>20520000</c:v>
                </c:pt>
                <c:pt idx="19">
                  <c:v>20520000</c:v>
                </c:pt>
                <c:pt idx="20">
                  <c:v>20520000</c:v>
                </c:pt>
                <c:pt idx="21">
                  <c:v>20520000</c:v>
                </c:pt>
                <c:pt idx="22">
                  <c:v>20520000</c:v>
                </c:pt>
                <c:pt idx="23">
                  <c:v>20520000</c:v>
                </c:pt>
                <c:pt idx="24">
                  <c:v>20520000</c:v>
                </c:pt>
                <c:pt idx="25">
                  <c:v>20520000</c:v>
                </c:pt>
              </c:numCache>
            </c:numRef>
          </c:val>
          <c:smooth val="0"/>
          <c:extLst>
            <c:ext xmlns:c16="http://schemas.microsoft.com/office/drawing/2014/chart" uri="{C3380CC4-5D6E-409C-BE32-E72D297353CC}">
              <c16:uniqueId val="{00000001-C2AB-4CE7-8190-DA3A68114D76}"/>
            </c:ext>
          </c:extLst>
        </c:ser>
        <c:dLbls>
          <c:showLegendKey val="0"/>
          <c:showVal val="0"/>
          <c:showCatName val="0"/>
          <c:showSerName val="0"/>
          <c:showPercent val="0"/>
          <c:showBubbleSize val="0"/>
        </c:dLbls>
        <c:marker val="1"/>
        <c:smooth val="0"/>
        <c:axId val="422003055"/>
        <c:axId val="422004495"/>
      </c:lineChart>
      <c:catAx>
        <c:axId val="10"/>
        <c:scaling>
          <c:orientation val="minMax"/>
        </c:scaling>
        <c:delete val="1"/>
        <c:axPos val="b"/>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catAx>
        <c:axId val="422003055"/>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spc="0" normalizeH="0" baseline="0">
                <a:solidFill>
                  <a:schemeClr val="tx1">
                    <a:lumMod val="65000"/>
                    <a:lumOff val="35000"/>
                  </a:schemeClr>
                </a:solidFill>
                <a:latin typeface="+mn-lt"/>
                <a:ea typeface="+mn-ea"/>
                <a:cs typeface="+mn-cs"/>
              </a:defRPr>
            </a:pPr>
            <a:endParaRPr lang="en-US"/>
          </a:p>
        </c:txPr>
        <c:crossAx val="422004495"/>
        <c:crosses val="autoZero"/>
        <c:auto val="1"/>
        <c:lblAlgn val="ctr"/>
        <c:lblOffset val="100"/>
        <c:noMultiLvlLbl val="0"/>
      </c:catAx>
      <c:valAx>
        <c:axId val="422004495"/>
        <c:scaling>
          <c:orientation val="minMax"/>
        </c:scaling>
        <c:delete val="0"/>
        <c:axPos val="l"/>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2003055"/>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600" b="1">
                <a:solidFill>
                  <a:schemeClr val="accent2">
                    <a:lumMod val="50000"/>
                  </a:schemeClr>
                </a:solidFill>
              </a:rPr>
              <a:t>Residual</a:t>
            </a:r>
            <a:r>
              <a:rPr lang="en-IN" sz="1600" b="1" baseline="0">
                <a:solidFill>
                  <a:schemeClr val="accent2">
                    <a:lumMod val="50000"/>
                  </a:schemeClr>
                </a:solidFill>
              </a:rPr>
              <a:t> Graph</a:t>
            </a:r>
            <a:endParaRPr lang="en-IN" b="1" baseline="0">
              <a:solidFill>
                <a:schemeClr val="accent2">
                  <a:lumMod val="50000"/>
                </a:schemeClr>
              </a:solidFill>
            </a:endParaRPr>
          </a:p>
        </c:rich>
      </c:tx>
      <c:layout>
        <c:manualLayout>
          <c:xMode val="edge"/>
          <c:yMode val="edge"/>
          <c:x val="0.71696566085623814"/>
          <c:y val="2.1786441097036782E-2"/>
        </c:manualLayout>
      </c:layout>
      <c:overlay val="0"/>
      <c:spPr>
        <a:solidFill>
          <a:schemeClr val="bg1">
            <a:lumMod val="65000"/>
          </a:schemeClr>
        </a:solidFill>
        <a:ln>
          <a:noFill/>
          <a:prstDash val="solid"/>
        </a:ln>
      </c:spPr>
    </c:title>
    <c:autoTitleDeleted val="0"/>
    <c:plotArea>
      <c:layout>
        <c:manualLayout>
          <c:layoutTarget val="inner"/>
          <c:xMode val="edge"/>
          <c:yMode val="edge"/>
          <c:x val="7.4455578275097245E-2"/>
          <c:y val="0.1187828083989501"/>
          <c:w val="0.91586990171379079"/>
          <c:h val="0.69279330279793461"/>
        </c:manualLayout>
      </c:layout>
      <c:lineChart>
        <c:grouping val="standard"/>
        <c:varyColors val="0"/>
        <c:ser>
          <c:idx val="1"/>
          <c:order val="0"/>
          <c:tx>
            <c:strRef>
              <c:f>'Helping Table'!$O$3</c:f>
              <c:strCache>
                <c:ptCount val="1"/>
                <c:pt idx="0">
                  <c:v>Base</c:v>
                </c:pt>
              </c:strCache>
            </c:strRef>
          </c:tx>
          <c:spPr>
            <a:ln w="28575" cap="rnd">
              <a:solidFill>
                <a:schemeClr val="accent2"/>
              </a:solidFill>
              <a:prstDash val="sysDash"/>
              <a:round/>
            </a:ln>
          </c:spPr>
          <c:marker>
            <c:symbol val="none"/>
          </c:marker>
          <c:val>
            <c:numRef>
              <c:f>'Helping Table'!$O$4:$O$29</c:f>
              <c:numCache>
                <c:formatCode>0</c:formatCode>
                <c:ptCount val="26"/>
                <c:pt idx="0">
                  <c:v>44232000</c:v>
                </c:pt>
                <c:pt idx="1">
                  <c:v>37597200</c:v>
                </c:pt>
                <c:pt idx="2">
                  <c:v>31957619.999999996</c:v>
                </c:pt>
                <c:pt idx="3">
                  <c:v>27163976.999999996</c:v>
                </c:pt>
                <c:pt idx="4">
                  <c:v>23089380.449999996</c:v>
                </c:pt>
                <c:pt idx="5">
                  <c:v>19904400</c:v>
                </c:pt>
                <c:pt idx="6">
                  <c:v>19904400</c:v>
                </c:pt>
                <c:pt idx="7">
                  <c:v>19904400</c:v>
                </c:pt>
                <c:pt idx="8">
                  <c:v>19904400</c:v>
                </c:pt>
                <c:pt idx="9">
                  <c:v>19904400</c:v>
                </c:pt>
                <c:pt idx="10">
                  <c:v>19904400</c:v>
                </c:pt>
                <c:pt idx="11">
                  <c:v>19904400</c:v>
                </c:pt>
                <c:pt idx="12">
                  <c:v>19904400</c:v>
                </c:pt>
                <c:pt idx="13">
                  <c:v>19904400</c:v>
                </c:pt>
                <c:pt idx="14">
                  <c:v>19904400</c:v>
                </c:pt>
                <c:pt idx="15">
                  <c:v>19904400</c:v>
                </c:pt>
                <c:pt idx="16">
                  <c:v>19904400</c:v>
                </c:pt>
                <c:pt idx="17">
                  <c:v>19904400</c:v>
                </c:pt>
                <c:pt idx="18">
                  <c:v>19904400</c:v>
                </c:pt>
                <c:pt idx="19">
                  <c:v>19904400</c:v>
                </c:pt>
                <c:pt idx="20">
                  <c:v>19904400</c:v>
                </c:pt>
                <c:pt idx="21">
                  <c:v>19904400</c:v>
                </c:pt>
                <c:pt idx="22">
                  <c:v>19904400</c:v>
                </c:pt>
                <c:pt idx="23">
                  <c:v>19904400</c:v>
                </c:pt>
                <c:pt idx="24">
                  <c:v>19904400</c:v>
                </c:pt>
                <c:pt idx="25">
                  <c:v>19904400</c:v>
                </c:pt>
              </c:numCache>
            </c:numRef>
          </c:val>
          <c:smooth val="0"/>
          <c:extLst>
            <c:ext xmlns:c16="http://schemas.microsoft.com/office/drawing/2014/chart" uri="{C3380CC4-5D6E-409C-BE32-E72D297353CC}">
              <c16:uniqueId val="{00000000-DF71-4AD1-8C4E-E3D1459259EF}"/>
            </c:ext>
          </c:extLst>
        </c:ser>
        <c:ser>
          <c:idx val="2"/>
          <c:order val="1"/>
          <c:tx>
            <c:strRef>
              <c:f>'Helping Table'!$P$3</c:f>
              <c:strCache>
                <c:ptCount val="1"/>
                <c:pt idx="0">
                  <c:v>Downside</c:v>
                </c:pt>
              </c:strCache>
            </c:strRef>
          </c:tx>
          <c:spPr>
            <a:ln w="28575" cap="rnd">
              <a:solidFill>
                <a:schemeClr val="accent3"/>
              </a:solidFill>
              <a:prstDash val="sysDash"/>
              <a:round/>
            </a:ln>
          </c:spPr>
          <c:marker>
            <c:symbol val="none"/>
          </c:marker>
          <c:val>
            <c:numRef>
              <c:f>'Helping Table'!$P$4:$P$29</c:f>
              <c:numCache>
                <c:formatCode>0</c:formatCode>
                <c:ptCount val="26"/>
                <c:pt idx="0">
                  <c:v>35385600</c:v>
                </c:pt>
                <c:pt idx="1">
                  <c:v>30077760</c:v>
                </c:pt>
                <c:pt idx="2">
                  <c:v>25566096</c:v>
                </c:pt>
                <c:pt idx="3">
                  <c:v>21731181.599999998</c:v>
                </c:pt>
                <c:pt idx="4">
                  <c:v>18471504.359999996</c:v>
                </c:pt>
                <c:pt idx="5">
                  <c:v>15923520</c:v>
                </c:pt>
                <c:pt idx="6">
                  <c:v>15923520</c:v>
                </c:pt>
                <c:pt idx="7">
                  <c:v>15923520</c:v>
                </c:pt>
                <c:pt idx="8">
                  <c:v>15923520</c:v>
                </c:pt>
                <c:pt idx="9">
                  <c:v>15923520</c:v>
                </c:pt>
                <c:pt idx="10">
                  <c:v>15923520</c:v>
                </c:pt>
                <c:pt idx="11">
                  <c:v>15923520</c:v>
                </c:pt>
                <c:pt idx="12">
                  <c:v>15923520</c:v>
                </c:pt>
                <c:pt idx="13">
                  <c:v>15923520</c:v>
                </c:pt>
                <c:pt idx="14">
                  <c:v>15923520</c:v>
                </c:pt>
                <c:pt idx="15">
                  <c:v>15923520</c:v>
                </c:pt>
                <c:pt idx="16">
                  <c:v>15923520</c:v>
                </c:pt>
                <c:pt idx="17">
                  <c:v>15923520</c:v>
                </c:pt>
                <c:pt idx="18">
                  <c:v>15923520</c:v>
                </c:pt>
                <c:pt idx="19">
                  <c:v>15923520</c:v>
                </c:pt>
                <c:pt idx="20">
                  <c:v>15923520</c:v>
                </c:pt>
                <c:pt idx="21">
                  <c:v>15923520</c:v>
                </c:pt>
                <c:pt idx="22">
                  <c:v>15923520</c:v>
                </c:pt>
                <c:pt idx="23">
                  <c:v>15923520</c:v>
                </c:pt>
                <c:pt idx="24">
                  <c:v>15923520</c:v>
                </c:pt>
                <c:pt idx="25">
                  <c:v>15923520</c:v>
                </c:pt>
              </c:numCache>
            </c:numRef>
          </c:val>
          <c:smooth val="0"/>
          <c:extLst>
            <c:ext xmlns:c16="http://schemas.microsoft.com/office/drawing/2014/chart" uri="{C3380CC4-5D6E-409C-BE32-E72D297353CC}">
              <c16:uniqueId val="{00000001-DF71-4AD1-8C4E-E3D1459259EF}"/>
            </c:ext>
          </c:extLst>
        </c:ser>
        <c:ser>
          <c:idx val="3"/>
          <c:order val="2"/>
          <c:tx>
            <c:strRef>
              <c:f>'Helping Table'!$Q$3</c:f>
              <c:strCache>
                <c:ptCount val="1"/>
                <c:pt idx="0">
                  <c:v>Stress</c:v>
                </c:pt>
              </c:strCache>
            </c:strRef>
          </c:tx>
          <c:spPr>
            <a:ln w="28575" cap="rnd">
              <a:solidFill>
                <a:schemeClr val="accent4"/>
              </a:solidFill>
              <a:prstDash val="sysDash"/>
              <a:round/>
            </a:ln>
          </c:spPr>
          <c:marker>
            <c:symbol val="none"/>
          </c:marker>
          <c:val>
            <c:numRef>
              <c:f>'Helping Table'!$Q$4:$Q$29</c:f>
              <c:numCache>
                <c:formatCode>0</c:formatCode>
                <c:ptCount val="26"/>
                <c:pt idx="0">
                  <c:v>26539200</c:v>
                </c:pt>
                <c:pt idx="1">
                  <c:v>22558320</c:v>
                </c:pt>
                <c:pt idx="2">
                  <c:v>19174571.999999996</c:v>
                </c:pt>
                <c:pt idx="3">
                  <c:v>16298386.199999996</c:v>
                </c:pt>
                <c:pt idx="4">
                  <c:v>13853628.269999998</c:v>
                </c:pt>
                <c:pt idx="5">
                  <c:v>11942640</c:v>
                </c:pt>
                <c:pt idx="6">
                  <c:v>11942640</c:v>
                </c:pt>
                <c:pt idx="7">
                  <c:v>11942640</c:v>
                </c:pt>
                <c:pt idx="8">
                  <c:v>11942640</c:v>
                </c:pt>
                <c:pt idx="9">
                  <c:v>11942640</c:v>
                </c:pt>
                <c:pt idx="10">
                  <c:v>11942640</c:v>
                </c:pt>
                <c:pt idx="11">
                  <c:v>11942640</c:v>
                </c:pt>
                <c:pt idx="12">
                  <c:v>11942640</c:v>
                </c:pt>
                <c:pt idx="13">
                  <c:v>11942640</c:v>
                </c:pt>
                <c:pt idx="14">
                  <c:v>11942640</c:v>
                </c:pt>
                <c:pt idx="15">
                  <c:v>11942640</c:v>
                </c:pt>
                <c:pt idx="16">
                  <c:v>11942640</c:v>
                </c:pt>
                <c:pt idx="17">
                  <c:v>11942640</c:v>
                </c:pt>
                <c:pt idx="18">
                  <c:v>11942640</c:v>
                </c:pt>
                <c:pt idx="19">
                  <c:v>11942640</c:v>
                </c:pt>
                <c:pt idx="20">
                  <c:v>11942640</c:v>
                </c:pt>
                <c:pt idx="21">
                  <c:v>11942640</c:v>
                </c:pt>
                <c:pt idx="22">
                  <c:v>11942640</c:v>
                </c:pt>
                <c:pt idx="23">
                  <c:v>11942640</c:v>
                </c:pt>
                <c:pt idx="24">
                  <c:v>11942640</c:v>
                </c:pt>
                <c:pt idx="25">
                  <c:v>11942640</c:v>
                </c:pt>
              </c:numCache>
            </c:numRef>
          </c:val>
          <c:smooth val="0"/>
          <c:extLst>
            <c:ext xmlns:c16="http://schemas.microsoft.com/office/drawing/2014/chart" uri="{C3380CC4-5D6E-409C-BE32-E72D297353CC}">
              <c16:uniqueId val="{00000002-DF71-4AD1-8C4E-E3D1459259EF}"/>
            </c:ext>
          </c:extLst>
        </c:ser>
        <c:dLbls>
          <c:showLegendKey val="0"/>
          <c:showVal val="0"/>
          <c:showCatName val="0"/>
          <c:showSerName val="0"/>
          <c:showPercent val="0"/>
          <c:showBubbleSize val="0"/>
        </c:dLbls>
        <c:smooth val="0"/>
        <c:axId val="505276783"/>
        <c:axId val="505270543"/>
      </c:lineChart>
      <c:catAx>
        <c:axId val="505276783"/>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sz="1200"/>
                  <a:t>Age in year</a:t>
                </a:r>
                <a:endParaRPr lang="en-IN"/>
              </a:p>
            </c:rich>
          </c:tx>
          <c:layout>
            <c:manualLayout>
              <c:xMode val="edge"/>
              <c:yMode val="edge"/>
              <c:x val="0.4986633777801186"/>
              <c:y val="0.91745517104479601"/>
            </c:manualLayout>
          </c:layout>
          <c:overlay val="0"/>
          <c:spPr>
            <a:noFill/>
            <a:ln>
              <a:noFill/>
              <a:prstDash val="solid"/>
            </a:ln>
          </c:spPr>
        </c:title>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05270543"/>
        <c:crosses val="autoZero"/>
        <c:auto val="1"/>
        <c:lblAlgn val="ctr"/>
        <c:lblOffset val="100"/>
        <c:noMultiLvlLbl val="0"/>
      </c:catAx>
      <c:valAx>
        <c:axId val="505270543"/>
        <c:scaling>
          <c:orientation val="minMax"/>
        </c:scaling>
        <c:delete val="1"/>
        <c:axPos val="l"/>
        <c:title>
          <c:tx>
            <c:rich>
              <a:bodyPr rot="-54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rPr lang="en-IN" sz="1100"/>
                  <a:t>Residual</a:t>
                </a:r>
              </a:p>
            </c:rich>
          </c:tx>
          <c:layout>
            <c:manualLayout>
              <c:xMode val="edge"/>
              <c:yMode val="edge"/>
              <c:x val="1.8317254657549079E-2"/>
              <c:y val="0.42851016171998108"/>
            </c:manualLayout>
          </c:layout>
          <c:overlay val="0"/>
          <c:spPr>
            <a:noFill/>
            <a:ln>
              <a:noFill/>
              <a:prstDash val="solid"/>
            </a:ln>
          </c:spPr>
        </c:title>
        <c:numFmt formatCode="0" sourceLinked="1"/>
        <c:majorTickMark val="none"/>
        <c:minorTickMark val="none"/>
        <c:tickLblPos val="nextTo"/>
        <c:crossAx val="505276783"/>
        <c:crosses val="autoZero"/>
        <c:crossBetween val="between"/>
      </c:valAx>
    </c:plotArea>
    <c:legend>
      <c:legendPos val="t"/>
      <c:layout>
        <c:manualLayout>
          <c:xMode val="edge"/>
          <c:yMode val="edge"/>
          <c:x val="1.8110089917690041E-2"/>
          <c:y val="3.1403672580143177E-2"/>
          <c:w val="0.37849553922816498"/>
          <c:h val="5.2521376004470037E-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600" b="1">
                <a:solidFill>
                  <a:schemeClr val="accent2">
                    <a:lumMod val="50000"/>
                  </a:schemeClr>
                </a:solidFill>
              </a:rPr>
              <a:t>Market Value</a:t>
            </a:r>
            <a:r>
              <a:rPr lang="en-IN" sz="1600" b="1" baseline="0">
                <a:solidFill>
                  <a:schemeClr val="accent2">
                    <a:lumMod val="50000"/>
                  </a:schemeClr>
                </a:solidFill>
              </a:rPr>
              <a:t> Graph</a:t>
            </a:r>
            <a:endParaRPr lang="en-IN" b="1">
              <a:solidFill>
                <a:schemeClr val="accent2">
                  <a:lumMod val="50000"/>
                </a:schemeClr>
              </a:solidFill>
            </a:endParaRPr>
          </a:p>
        </c:rich>
      </c:tx>
      <c:layout>
        <c:manualLayout>
          <c:xMode val="edge"/>
          <c:yMode val="edge"/>
          <c:x val="0.64515021396384031"/>
          <c:y val="3.2119956524421789E-2"/>
        </c:manualLayout>
      </c:layout>
      <c:overlay val="0"/>
      <c:spPr>
        <a:solidFill>
          <a:schemeClr val="bg1">
            <a:lumMod val="65000"/>
          </a:schemeClr>
        </a:solidFill>
        <a:ln>
          <a:noFill/>
          <a:prstDash val="solid"/>
        </a:ln>
      </c:spPr>
    </c:title>
    <c:autoTitleDeleted val="0"/>
    <c:plotArea>
      <c:layout>
        <c:manualLayout>
          <c:layoutTarget val="inner"/>
          <c:xMode val="edge"/>
          <c:yMode val="edge"/>
          <c:x val="5.4424603174603167E-2"/>
          <c:y val="0.12727751327595679"/>
          <c:w val="0.92374999999999996"/>
          <c:h val="0.68731128812386821"/>
        </c:manualLayout>
      </c:layout>
      <c:lineChart>
        <c:grouping val="standard"/>
        <c:varyColors val="0"/>
        <c:ser>
          <c:idx val="1"/>
          <c:order val="0"/>
          <c:tx>
            <c:strRef>
              <c:f>'Helping Table'!$I$3</c:f>
              <c:strCache>
                <c:ptCount val="1"/>
                <c:pt idx="0">
                  <c:v>Base</c:v>
                </c:pt>
              </c:strCache>
            </c:strRef>
          </c:tx>
          <c:spPr>
            <a:ln w="28575" cap="rnd">
              <a:solidFill>
                <a:schemeClr val="accent2"/>
              </a:solidFill>
              <a:prstDash val="sysDot"/>
              <a:round/>
            </a:ln>
          </c:spPr>
          <c:marker>
            <c:symbol val="none"/>
          </c:marker>
          <c:val>
            <c:numRef>
              <c:f>'Helping Table'!$I$4:$I$29</c:f>
              <c:numCache>
                <c:formatCode>0</c:formatCode>
                <c:ptCount val="26"/>
                <c:pt idx="0">
                  <c:v>45600000</c:v>
                </c:pt>
                <c:pt idx="1">
                  <c:v>38760000</c:v>
                </c:pt>
                <c:pt idx="2">
                  <c:v>32945999.999999996</c:v>
                </c:pt>
                <c:pt idx="3">
                  <c:v>28004099.999999996</c:v>
                </c:pt>
                <c:pt idx="4">
                  <c:v>23803484.999999996</c:v>
                </c:pt>
                <c:pt idx="5">
                  <c:v>20520000</c:v>
                </c:pt>
                <c:pt idx="6">
                  <c:v>20520000</c:v>
                </c:pt>
                <c:pt idx="7">
                  <c:v>20520000</c:v>
                </c:pt>
                <c:pt idx="8">
                  <c:v>20520000</c:v>
                </c:pt>
                <c:pt idx="9">
                  <c:v>20520000</c:v>
                </c:pt>
                <c:pt idx="10">
                  <c:v>20520000</c:v>
                </c:pt>
                <c:pt idx="11">
                  <c:v>20520000</c:v>
                </c:pt>
                <c:pt idx="12">
                  <c:v>20520000</c:v>
                </c:pt>
                <c:pt idx="13">
                  <c:v>20520000</c:v>
                </c:pt>
                <c:pt idx="14">
                  <c:v>20520000</c:v>
                </c:pt>
                <c:pt idx="15">
                  <c:v>20520000</c:v>
                </c:pt>
                <c:pt idx="16">
                  <c:v>20520000</c:v>
                </c:pt>
                <c:pt idx="17">
                  <c:v>20520000</c:v>
                </c:pt>
                <c:pt idx="18">
                  <c:v>20520000</c:v>
                </c:pt>
                <c:pt idx="19">
                  <c:v>20520000</c:v>
                </c:pt>
                <c:pt idx="20">
                  <c:v>20520000</c:v>
                </c:pt>
                <c:pt idx="21">
                  <c:v>20520000</c:v>
                </c:pt>
                <c:pt idx="22">
                  <c:v>20520000</c:v>
                </c:pt>
                <c:pt idx="23">
                  <c:v>20520000</c:v>
                </c:pt>
                <c:pt idx="24">
                  <c:v>20520000</c:v>
                </c:pt>
                <c:pt idx="25">
                  <c:v>20520000</c:v>
                </c:pt>
              </c:numCache>
            </c:numRef>
          </c:val>
          <c:smooth val="0"/>
          <c:extLst>
            <c:ext xmlns:c16="http://schemas.microsoft.com/office/drawing/2014/chart" uri="{C3380CC4-5D6E-409C-BE32-E72D297353CC}">
              <c16:uniqueId val="{00000000-E9CB-4C8C-A18C-27A7321A4704}"/>
            </c:ext>
          </c:extLst>
        </c:ser>
        <c:ser>
          <c:idx val="2"/>
          <c:order val="1"/>
          <c:tx>
            <c:strRef>
              <c:f>'Helping Table'!$J$3</c:f>
              <c:strCache>
                <c:ptCount val="1"/>
                <c:pt idx="0">
                  <c:v>Downside</c:v>
                </c:pt>
              </c:strCache>
            </c:strRef>
          </c:tx>
          <c:spPr>
            <a:ln w="28575" cap="rnd">
              <a:solidFill>
                <a:schemeClr val="accent3"/>
              </a:solidFill>
              <a:prstDash val="sysDot"/>
              <a:round/>
            </a:ln>
          </c:spPr>
          <c:marker>
            <c:symbol val="none"/>
          </c:marker>
          <c:val>
            <c:numRef>
              <c:f>'Helping Table'!$J$4:$J$29</c:f>
              <c:numCache>
                <c:formatCode>0</c:formatCode>
                <c:ptCount val="26"/>
                <c:pt idx="0">
                  <c:v>36480000</c:v>
                </c:pt>
                <c:pt idx="1">
                  <c:v>31008000</c:v>
                </c:pt>
                <c:pt idx="2">
                  <c:v>26356800</c:v>
                </c:pt>
                <c:pt idx="3">
                  <c:v>22403280</c:v>
                </c:pt>
                <c:pt idx="4">
                  <c:v>19042787.999999996</c:v>
                </c:pt>
                <c:pt idx="5">
                  <c:v>16416000</c:v>
                </c:pt>
                <c:pt idx="6">
                  <c:v>16416000</c:v>
                </c:pt>
                <c:pt idx="7">
                  <c:v>16416000</c:v>
                </c:pt>
                <c:pt idx="8">
                  <c:v>16416000</c:v>
                </c:pt>
                <c:pt idx="9">
                  <c:v>16416000</c:v>
                </c:pt>
                <c:pt idx="10">
                  <c:v>16416000</c:v>
                </c:pt>
                <c:pt idx="11">
                  <c:v>16416000</c:v>
                </c:pt>
                <c:pt idx="12">
                  <c:v>16416000</c:v>
                </c:pt>
                <c:pt idx="13">
                  <c:v>16416000</c:v>
                </c:pt>
                <c:pt idx="14">
                  <c:v>16416000</c:v>
                </c:pt>
                <c:pt idx="15">
                  <c:v>16416000</c:v>
                </c:pt>
                <c:pt idx="16">
                  <c:v>16416000</c:v>
                </c:pt>
                <c:pt idx="17">
                  <c:v>16416000</c:v>
                </c:pt>
                <c:pt idx="18">
                  <c:v>16416000</c:v>
                </c:pt>
                <c:pt idx="19">
                  <c:v>16416000</c:v>
                </c:pt>
                <c:pt idx="20">
                  <c:v>16416000</c:v>
                </c:pt>
                <c:pt idx="21">
                  <c:v>16416000</c:v>
                </c:pt>
                <c:pt idx="22">
                  <c:v>16416000</c:v>
                </c:pt>
                <c:pt idx="23">
                  <c:v>16416000</c:v>
                </c:pt>
                <c:pt idx="24">
                  <c:v>16416000</c:v>
                </c:pt>
                <c:pt idx="25">
                  <c:v>16416000</c:v>
                </c:pt>
              </c:numCache>
            </c:numRef>
          </c:val>
          <c:smooth val="0"/>
          <c:extLst>
            <c:ext xmlns:c16="http://schemas.microsoft.com/office/drawing/2014/chart" uri="{C3380CC4-5D6E-409C-BE32-E72D297353CC}">
              <c16:uniqueId val="{00000001-E9CB-4C8C-A18C-27A7321A4704}"/>
            </c:ext>
          </c:extLst>
        </c:ser>
        <c:ser>
          <c:idx val="3"/>
          <c:order val="2"/>
          <c:tx>
            <c:strRef>
              <c:f>'Helping Table'!$K$3</c:f>
              <c:strCache>
                <c:ptCount val="1"/>
                <c:pt idx="0">
                  <c:v>Stress</c:v>
                </c:pt>
              </c:strCache>
            </c:strRef>
          </c:tx>
          <c:spPr>
            <a:ln w="28575" cap="rnd">
              <a:solidFill>
                <a:schemeClr val="accent4"/>
              </a:solidFill>
              <a:prstDash val="sysDot"/>
              <a:round/>
            </a:ln>
          </c:spPr>
          <c:marker>
            <c:symbol val="none"/>
          </c:marker>
          <c:val>
            <c:numRef>
              <c:f>'Helping Table'!$K$4:$K$29</c:f>
              <c:numCache>
                <c:formatCode>0</c:formatCode>
                <c:ptCount val="26"/>
                <c:pt idx="0">
                  <c:v>27360000</c:v>
                </c:pt>
                <c:pt idx="1">
                  <c:v>23256000</c:v>
                </c:pt>
                <c:pt idx="2">
                  <c:v>19767599.999999996</c:v>
                </c:pt>
                <c:pt idx="3">
                  <c:v>16802459.999999996</c:v>
                </c:pt>
                <c:pt idx="4">
                  <c:v>14282090.999999998</c:v>
                </c:pt>
                <c:pt idx="5">
                  <c:v>12312000</c:v>
                </c:pt>
                <c:pt idx="6">
                  <c:v>12312000</c:v>
                </c:pt>
                <c:pt idx="7">
                  <c:v>12312000</c:v>
                </c:pt>
                <c:pt idx="8">
                  <c:v>12312000</c:v>
                </c:pt>
                <c:pt idx="9">
                  <c:v>12312000</c:v>
                </c:pt>
                <c:pt idx="10">
                  <c:v>12312000</c:v>
                </c:pt>
                <c:pt idx="11">
                  <c:v>12312000</c:v>
                </c:pt>
                <c:pt idx="12">
                  <c:v>12312000</c:v>
                </c:pt>
                <c:pt idx="13">
                  <c:v>12312000</c:v>
                </c:pt>
                <c:pt idx="14">
                  <c:v>12312000</c:v>
                </c:pt>
                <c:pt idx="15">
                  <c:v>12312000</c:v>
                </c:pt>
                <c:pt idx="16">
                  <c:v>12312000</c:v>
                </c:pt>
                <c:pt idx="17">
                  <c:v>12312000</c:v>
                </c:pt>
                <c:pt idx="18">
                  <c:v>12312000</c:v>
                </c:pt>
                <c:pt idx="19">
                  <c:v>12312000</c:v>
                </c:pt>
                <c:pt idx="20">
                  <c:v>12312000</c:v>
                </c:pt>
                <c:pt idx="21">
                  <c:v>12312000</c:v>
                </c:pt>
                <c:pt idx="22">
                  <c:v>12312000</c:v>
                </c:pt>
                <c:pt idx="23">
                  <c:v>12312000</c:v>
                </c:pt>
                <c:pt idx="24">
                  <c:v>12312000</c:v>
                </c:pt>
                <c:pt idx="25">
                  <c:v>12312000</c:v>
                </c:pt>
              </c:numCache>
            </c:numRef>
          </c:val>
          <c:smooth val="0"/>
          <c:extLst>
            <c:ext xmlns:c16="http://schemas.microsoft.com/office/drawing/2014/chart" uri="{C3380CC4-5D6E-409C-BE32-E72D297353CC}">
              <c16:uniqueId val="{00000002-E9CB-4C8C-A18C-27A7321A4704}"/>
            </c:ext>
          </c:extLst>
        </c:ser>
        <c:dLbls>
          <c:showLegendKey val="0"/>
          <c:showVal val="0"/>
          <c:showCatName val="0"/>
          <c:showSerName val="0"/>
          <c:showPercent val="0"/>
          <c:showBubbleSize val="0"/>
        </c:dLbls>
        <c:smooth val="0"/>
        <c:axId val="505257103"/>
        <c:axId val="505263823"/>
      </c:lineChart>
      <c:catAx>
        <c:axId val="505257103"/>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sz="1050"/>
                  <a:t>Age In</a:t>
                </a:r>
                <a:r>
                  <a:rPr lang="en-IN" sz="1050" baseline="0"/>
                  <a:t> Year</a:t>
                </a:r>
                <a:endParaRPr lang="en-IN"/>
              </a:p>
            </c:rich>
          </c:tx>
          <c:layout>
            <c:manualLayout>
              <c:xMode val="edge"/>
              <c:yMode val="edge"/>
              <c:x val="0.46632936507936512"/>
              <c:y val="0.93169357887059256"/>
            </c:manualLayout>
          </c:layout>
          <c:overlay val="0"/>
          <c:spPr>
            <a:noFill/>
            <a:ln>
              <a:noFill/>
              <a:prstDash val="solid"/>
            </a:ln>
          </c:spPr>
        </c:title>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05263823"/>
        <c:crosses val="autoZero"/>
        <c:auto val="1"/>
        <c:lblAlgn val="ctr"/>
        <c:lblOffset val="100"/>
        <c:noMultiLvlLbl val="0"/>
      </c:catAx>
      <c:valAx>
        <c:axId val="505263823"/>
        <c:scaling>
          <c:orientation val="minMax"/>
        </c:scaling>
        <c:delete val="1"/>
        <c:axPos val="l"/>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sz="1100"/>
                  <a:t>MV</a:t>
                </a:r>
                <a:r>
                  <a:rPr lang="en-IN" sz="1100" baseline="0"/>
                  <a:t> Value</a:t>
                </a:r>
                <a:endParaRPr lang="en-IN" sz="1100"/>
              </a:p>
            </c:rich>
          </c:tx>
          <c:layout>
            <c:manualLayout>
              <c:xMode val="edge"/>
              <c:yMode val="edge"/>
              <c:x val="1.388888888888889E-2"/>
              <c:y val="0.43675073070227283"/>
            </c:manualLayout>
          </c:layout>
          <c:overlay val="0"/>
          <c:spPr>
            <a:noFill/>
            <a:ln>
              <a:noFill/>
              <a:prstDash val="solid"/>
            </a:ln>
          </c:spPr>
        </c:title>
        <c:numFmt formatCode="0" sourceLinked="1"/>
        <c:majorTickMark val="none"/>
        <c:minorTickMark val="none"/>
        <c:tickLblPos val="nextTo"/>
        <c:crossAx val="505257103"/>
        <c:crosses val="autoZero"/>
        <c:crossBetween val="between"/>
      </c:valAx>
    </c:plotArea>
    <c:legend>
      <c:legendPos val="t"/>
      <c:layout>
        <c:manualLayout>
          <c:xMode val="edge"/>
          <c:yMode val="edge"/>
          <c:x val="2.7073838573525591E-2"/>
          <c:y val="3.4011373578302709E-2"/>
          <c:w val="0.47351533987121902"/>
          <c:h val="5.4506195446499428E-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600" b="1" baseline="0">
                <a:solidFill>
                  <a:schemeClr val="accent2">
                    <a:lumMod val="50000"/>
                  </a:schemeClr>
                </a:solidFill>
              </a:rPr>
              <a:t>Base Value Graph</a:t>
            </a:r>
            <a:endParaRPr lang="en-IN" b="1">
              <a:solidFill>
                <a:schemeClr val="accent2">
                  <a:lumMod val="50000"/>
                </a:schemeClr>
              </a:solidFill>
            </a:endParaRPr>
          </a:p>
        </c:rich>
      </c:tx>
      <c:layout>
        <c:manualLayout>
          <c:xMode val="edge"/>
          <c:yMode val="edge"/>
          <c:x val="0.64515021396384031"/>
          <c:y val="3.2119956524421789E-2"/>
        </c:manualLayout>
      </c:layout>
      <c:overlay val="0"/>
      <c:spPr>
        <a:solidFill>
          <a:schemeClr val="bg1">
            <a:lumMod val="65000"/>
          </a:schemeClr>
        </a:solidFill>
        <a:ln>
          <a:noFill/>
          <a:prstDash val="solid"/>
        </a:ln>
      </c:spPr>
    </c:title>
    <c:autoTitleDeleted val="0"/>
    <c:plotArea>
      <c:layout>
        <c:manualLayout>
          <c:layoutTarget val="inner"/>
          <c:xMode val="edge"/>
          <c:yMode val="edge"/>
          <c:x val="5.4424603174603167E-2"/>
          <c:y val="0.12727751327595679"/>
          <c:w val="0.92374999999999996"/>
          <c:h val="0.68731128812386821"/>
        </c:manualLayout>
      </c:layout>
      <c:lineChart>
        <c:grouping val="standard"/>
        <c:varyColors val="0"/>
        <c:ser>
          <c:idx val="0"/>
          <c:order val="0"/>
          <c:tx>
            <c:strRef>
              <c:f>'Helping Table'!$C$3</c:f>
              <c:strCache>
                <c:ptCount val="1"/>
                <c:pt idx="0">
                  <c:v>Base</c:v>
                </c:pt>
              </c:strCache>
            </c:strRef>
          </c:tx>
          <c:spPr>
            <a:ln>
              <a:prstDash val="sysDash"/>
            </a:ln>
          </c:spPr>
          <c:marker>
            <c:symbol val="none"/>
          </c:marker>
          <c:val>
            <c:numRef>
              <c:f>'Helping Table'!$C$4:$C$29</c:f>
              <c:numCache>
                <c:formatCode>0</c:formatCode>
                <c:ptCount val="26"/>
                <c:pt idx="0">
                  <c:v>45600000</c:v>
                </c:pt>
                <c:pt idx="1">
                  <c:v>38760000</c:v>
                </c:pt>
                <c:pt idx="2">
                  <c:v>32945999.999999996</c:v>
                </c:pt>
                <c:pt idx="3">
                  <c:v>28004099.999999996</c:v>
                </c:pt>
                <c:pt idx="4">
                  <c:v>23803484.999999996</c:v>
                </c:pt>
                <c:pt idx="5">
                  <c:v>20520000</c:v>
                </c:pt>
                <c:pt idx="6">
                  <c:v>20520000</c:v>
                </c:pt>
                <c:pt idx="7">
                  <c:v>20520000</c:v>
                </c:pt>
                <c:pt idx="8">
                  <c:v>20520000</c:v>
                </c:pt>
                <c:pt idx="9">
                  <c:v>20520000</c:v>
                </c:pt>
                <c:pt idx="10">
                  <c:v>20520000</c:v>
                </c:pt>
                <c:pt idx="11">
                  <c:v>20520000</c:v>
                </c:pt>
                <c:pt idx="12">
                  <c:v>20520000</c:v>
                </c:pt>
                <c:pt idx="13">
                  <c:v>20520000</c:v>
                </c:pt>
                <c:pt idx="14">
                  <c:v>20520000</c:v>
                </c:pt>
                <c:pt idx="15">
                  <c:v>20520000</c:v>
                </c:pt>
                <c:pt idx="16">
                  <c:v>20520000</c:v>
                </c:pt>
                <c:pt idx="17">
                  <c:v>20520000</c:v>
                </c:pt>
                <c:pt idx="18">
                  <c:v>20520000</c:v>
                </c:pt>
                <c:pt idx="19">
                  <c:v>20520000</c:v>
                </c:pt>
                <c:pt idx="20">
                  <c:v>20520000</c:v>
                </c:pt>
                <c:pt idx="21">
                  <c:v>20520000</c:v>
                </c:pt>
                <c:pt idx="22">
                  <c:v>20520000</c:v>
                </c:pt>
                <c:pt idx="23">
                  <c:v>20520000</c:v>
                </c:pt>
                <c:pt idx="24">
                  <c:v>20520000</c:v>
                </c:pt>
                <c:pt idx="25">
                  <c:v>20520000</c:v>
                </c:pt>
              </c:numCache>
            </c:numRef>
          </c:val>
          <c:smooth val="0"/>
          <c:extLst>
            <c:ext xmlns:c16="http://schemas.microsoft.com/office/drawing/2014/chart" uri="{C3380CC4-5D6E-409C-BE32-E72D297353CC}">
              <c16:uniqueId val="{00000000-C055-415F-8ECC-53B4FC32E5C3}"/>
            </c:ext>
          </c:extLst>
        </c:ser>
        <c:dLbls>
          <c:showLegendKey val="0"/>
          <c:showVal val="0"/>
          <c:showCatName val="0"/>
          <c:showSerName val="0"/>
          <c:showPercent val="0"/>
          <c:showBubbleSize val="0"/>
        </c:dLbls>
        <c:smooth val="0"/>
        <c:axId val="505257103"/>
        <c:axId val="505263823"/>
      </c:lineChart>
      <c:catAx>
        <c:axId val="505257103"/>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sz="1050"/>
                  <a:t>Age In</a:t>
                </a:r>
                <a:r>
                  <a:rPr lang="en-IN" sz="1050" baseline="0"/>
                  <a:t> Year</a:t>
                </a:r>
                <a:endParaRPr lang="en-IN"/>
              </a:p>
            </c:rich>
          </c:tx>
          <c:layout>
            <c:manualLayout>
              <c:xMode val="edge"/>
              <c:yMode val="edge"/>
              <c:x val="0.46632936507936512"/>
              <c:y val="0.93169357887059256"/>
            </c:manualLayout>
          </c:layout>
          <c:overlay val="0"/>
          <c:spPr>
            <a:noFill/>
            <a:ln>
              <a:noFill/>
              <a:prstDash val="solid"/>
            </a:ln>
          </c:spPr>
        </c:title>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05263823"/>
        <c:crosses val="autoZero"/>
        <c:auto val="1"/>
        <c:lblAlgn val="ctr"/>
        <c:lblOffset val="100"/>
        <c:noMultiLvlLbl val="0"/>
      </c:catAx>
      <c:valAx>
        <c:axId val="505263823"/>
        <c:scaling>
          <c:orientation val="minMax"/>
        </c:scaling>
        <c:delete val="1"/>
        <c:axPos val="l"/>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IN" sz="1100"/>
                  <a:t>BV</a:t>
                </a:r>
                <a:r>
                  <a:rPr lang="en-IN" sz="1100" baseline="0"/>
                  <a:t> Value</a:t>
                </a:r>
                <a:endParaRPr lang="en-IN" sz="1100"/>
              </a:p>
            </c:rich>
          </c:tx>
          <c:layout>
            <c:manualLayout>
              <c:xMode val="edge"/>
              <c:yMode val="edge"/>
              <c:x val="1.388888888888889E-2"/>
              <c:y val="0.43675073070227283"/>
            </c:manualLayout>
          </c:layout>
          <c:overlay val="0"/>
          <c:spPr>
            <a:noFill/>
            <a:ln>
              <a:noFill/>
              <a:prstDash val="solid"/>
            </a:ln>
          </c:spPr>
        </c:title>
        <c:numFmt formatCode="0" sourceLinked="1"/>
        <c:majorTickMark val="none"/>
        <c:minorTickMark val="none"/>
        <c:tickLblPos val="nextTo"/>
        <c:crossAx val="505257103"/>
        <c:crosses val="autoZero"/>
        <c:crossBetween val="between"/>
      </c:valAx>
    </c:plotArea>
    <c:legend>
      <c:legendPos val="t"/>
      <c:layout>
        <c:manualLayout>
          <c:xMode val="edge"/>
          <c:yMode val="edge"/>
          <c:x val="2.7073838573525591E-2"/>
          <c:y val="3.4011373578302709E-2"/>
          <c:w val="0.47351533987121902"/>
          <c:h val="5.4506195446499428E-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4">
                    <a:lumMod val="75000"/>
                  </a:schemeClr>
                </a:solidFill>
              </a:rPr>
              <a:t>Sensitivity</a:t>
            </a:r>
            <a:r>
              <a:rPr lang="en-IN" baseline="0">
                <a:solidFill>
                  <a:schemeClr val="accent4">
                    <a:lumMod val="75000"/>
                  </a:schemeClr>
                </a:solidFill>
              </a:rPr>
              <a:t> Graph</a:t>
            </a:r>
            <a:endParaRPr lang="en-IN">
              <a:solidFill>
                <a:schemeClr val="accent4">
                  <a:lumMod val="75000"/>
                </a:schemeClr>
              </a:solidFill>
            </a:endParaRPr>
          </a:p>
        </c:rich>
      </c:tx>
      <c:layout>
        <c:manualLayout>
          <c:xMode val="edge"/>
          <c:yMode val="edge"/>
          <c:x val="0.63478715733976543"/>
          <c:y val="2.8896670511971641E-2"/>
        </c:manualLayout>
      </c:layout>
      <c:overlay val="0"/>
      <c:spPr>
        <a:solidFill>
          <a:schemeClr val="bg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18929101914998961"/>
          <c:y val="0.18842887473460723"/>
          <c:w val="0.63318213519456112"/>
          <c:h val="0.66771486366751931"/>
        </c:manualLayout>
      </c:layout>
      <c:barChart>
        <c:barDir val="col"/>
        <c:grouping val="clustered"/>
        <c:varyColors val="0"/>
        <c:ser>
          <c:idx val="0"/>
          <c:order val="0"/>
          <c:tx>
            <c:strRef>
              <c:f>'Sensitivity Tables'!$A$19</c:f>
              <c:strCache>
                <c:ptCount val="1"/>
                <c:pt idx="0">
                  <c:v>WACC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'Sensitivity Tables'!$A$20:$A$24</c:f>
              <c:numCache>
                <c:formatCode>0.00%</c:formatCode>
                <c:ptCount val="5"/>
                <c:pt idx="0">
                  <c:v>6.0999999999999999E-2</c:v>
                </c:pt>
                <c:pt idx="1">
                  <c:v>6.6000000000000003E-2</c:v>
                </c:pt>
                <c:pt idx="2">
                  <c:v>7.2499999999999995E-2</c:v>
                </c:pt>
                <c:pt idx="3">
                  <c:v>7.5999999999999998E-2</c:v>
                </c:pt>
                <c:pt idx="4">
                  <c:v>8.1000000000000003E-2</c:v>
                </c:pt>
              </c:numCache>
            </c:numRef>
          </c:cat>
          <c:val>
            <c:numRef>
              <c:f>'Sensitivity Tables'!$A$20:$A$24</c:f>
              <c:numCache>
                <c:formatCode>0.00%</c:formatCode>
                <c:ptCount val="5"/>
                <c:pt idx="0">
                  <c:v>6.0999999999999999E-2</c:v>
                </c:pt>
                <c:pt idx="1">
                  <c:v>6.6000000000000003E-2</c:v>
                </c:pt>
                <c:pt idx="2">
                  <c:v>7.2499999999999995E-2</c:v>
                </c:pt>
                <c:pt idx="3">
                  <c:v>7.5999999999999998E-2</c:v>
                </c:pt>
                <c:pt idx="4">
                  <c:v>8.1000000000000003E-2</c:v>
                </c:pt>
              </c:numCache>
            </c:numRef>
          </c:val>
          <c:extLst>
            <c:ext xmlns:c16="http://schemas.microsoft.com/office/drawing/2014/chart" uri="{C3380CC4-5D6E-409C-BE32-E72D297353CC}">
              <c16:uniqueId val="{00000000-9541-4DEA-A1BE-20F45CD94AAB}"/>
            </c:ext>
          </c:extLst>
        </c:ser>
        <c:ser>
          <c:idx val="1"/>
          <c:order val="1"/>
          <c:tx>
            <c:strRef>
              <c:f>'Sensitivity Tables'!$B$19</c:f>
              <c:strCache>
                <c:ptCount val="1"/>
                <c:pt idx="0">
                  <c:v>AF</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'Sensitivity Tables'!$A$20:$A$24</c:f>
              <c:numCache>
                <c:formatCode>0.00%</c:formatCode>
                <c:ptCount val="5"/>
                <c:pt idx="0">
                  <c:v>6.0999999999999999E-2</c:v>
                </c:pt>
                <c:pt idx="1">
                  <c:v>6.6000000000000003E-2</c:v>
                </c:pt>
                <c:pt idx="2">
                  <c:v>7.2499999999999995E-2</c:v>
                </c:pt>
                <c:pt idx="3">
                  <c:v>7.5999999999999998E-2</c:v>
                </c:pt>
                <c:pt idx="4">
                  <c:v>8.1000000000000003E-2</c:v>
                </c:pt>
              </c:numCache>
            </c:numRef>
          </c:cat>
          <c:val>
            <c:numRef>
              <c:f>'Sensitivity Tables'!$B$20:$B$24</c:f>
              <c:numCache>
                <c:formatCode>0.0</c:formatCode>
                <c:ptCount val="5"/>
                <c:pt idx="0">
                  <c:v>8.3380714190731062</c:v>
                </c:pt>
                <c:pt idx="1">
                  <c:v>8.1148058788304063</c:v>
                </c:pt>
                <c:pt idx="2">
                  <c:v>7.8379304382810648</c:v>
                </c:pt>
                <c:pt idx="3">
                  <c:v>7.6947947170984499</c:v>
                </c:pt>
                <c:pt idx="4">
                  <c:v>7.4971873436984708</c:v>
                </c:pt>
              </c:numCache>
            </c:numRef>
          </c:val>
          <c:extLst>
            <c:ext xmlns:c16="http://schemas.microsoft.com/office/drawing/2014/chart" uri="{C3380CC4-5D6E-409C-BE32-E72D297353CC}">
              <c16:uniqueId val="{00000001-9541-4DEA-A1BE-20F45CD94AAB}"/>
            </c:ext>
          </c:extLst>
        </c:ser>
        <c:ser>
          <c:idx val="2"/>
          <c:order val="2"/>
          <c:tx>
            <c:strRef>
              <c:f>'Sensitivity Tables'!$C$19</c:f>
              <c:strCache>
                <c:ptCount val="1"/>
                <c:pt idx="0">
                  <c:v>PVR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'Sensitivity Tables'!$A$20:$A$24</c:f>
              <c:numCache>
                <c:formatCode>0.00%</c:formatCode>
                <c:ptCount val="5"/>
                <c:pt idx="0">
                  <c:v>6.0999999999999999E-2</c:v>
                </c:pt>
                <c:pt idx="1">
                  <c:v>6.6000000000000003E-2</c:v>
                </c:pt>
                <c:pt idx="2">
                  <c:v>7.2499999999999995E-2</c:v>
                </c:pt>
                <c:pt idx="3">
                  <c:v>7.5999999999999998E-2</c:v>
                </c:pt>
                <c:pt idx="4">
                  <c:v>8.1000000000000003E-2</c:v>
                </c:pt>
              </c:numCache>
            </c:numRef>
          </c:cat>
          <c:val>
            <c:numRef>
              <c:f>'Sensitivity Tables'!$C$20:$C$24</c:f>
              <c:numCache>
                <c:formatCode>0</c:formatCode>
                <c:ptCount val="5"/>
                <c:pt idx="0">
                  <c:v>9780577.1660182774</c:v>
                </c:pt>
                <c:pt idx="1">
                  <c:v>9244057.4191169329</c:v>
                </c:pt>
                <c:pt idx="2">
                  <c:v>8593725.5603601821</c:v>
                </c:pt>
                <c:pt idx="3">
                  <c:v>8264219.3305069059</c:v>
                </c:pt>
                <c:pt idx="4">
                  <c:v>7817011.7231231388</c:v>
                </c:pt>
              </c:numCache>
            </c:numRef>
          </c:val>
          <c:extLst>
            <c:ext xmlns:c16="http://schemas.microsoft.com/office/drawing/2014/chart" uri="{C3380CC4-5D6E-409C-BE32-E72D297353CC}">
              <c16:uniqueId val="{00000002-9541-4DEA-A1BE-20F45CD94AAB}"/>
            </c:ext>
          </c:extLst>
        </c:ser>
        <c:dLbls>
          <c:showLegendKey val="0"/>
          <c:showVal val="0"/>
          <c:showCatName val="0"/>
          <c:showSerName val="0"/>
          <c:showPercent val="0"/>
          <c:showBubbleSize val="0"/>
        </c:dLbls>
        <c:gapWidth val="150"/>
        <c:axId val="444712512"/>
        <c:axId val="448742336"/>
      </c:barChart>
      <c:lineChart>
        <c:grouping val="standard"/>
        <c:varyColors val="0"/>
        <c:ser>
          <c:idx val="3"/>
          <c:order val="3"/>
          <c:tx>
            <c:strRef>
              <c:f>'Sensitivity Tables'!$D$19</c:f>
              <c:strCache>
                <c:ptCount val="1"/>
                <c:pt idx="0">
                  <c:v>Annual Rent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val>
            <c:numRef>
              <c:f>'Sensitivity Tables'!$D$20:$D$24</c:f>
              <c:numCache>
                <c:formatCode>0</c:formatCode>
                <c:ptCount val="5"/>
                <c:pt idx="0">
                  <c:v>4295888.2256688029</c:v>
                </c:pt>
                <c:pt idx="1">
                  <c:v>4480198.679271806</c:v>
                </c:pt>
                <c:pt idx="2">
                  <c:v>4721434.4055540841</c:v>
                </c:pt>
                <c:pt idx="3">
                  <c:v>4852082.7445246847</c:v>
                </c:pt>
                <c:pt idx="4">
                  <c:v>5039621.7334270272</c:v>
                </c:pt>
              </c:numCache>
            </c:numRef>
          </c:val>
          <c:smooth val="0"/>
          <c:extLst>
            <c:ext xmlns:c16="http://schemas.microsoft.com/office/drawing/2014/chart" uri="{C3380CC4-5D6E-409C-BE32-E72D297353CC}">
              <c16:uniqueId val="{00000003-9541-4DEA-A1BE-20F45CD94AAB}"/>
            </c:ext>
          </c:extLst>
        </c:ser>
        <c:ser>
          <c:idx val="5"/>
          <c:order val="5"/>
          <c:tx>
            <c:strRef>
              <c:f>'Sensitivity Tables'!$F$19</c:f>
              <c:strCache>
                <c:ptCount val="1"/>
                <c:pt idx="0">
                  <c:v>NPV</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val>
            <c:numRef>
              <c:f>'Sensitivity Tables'!$F$20:$F$24</c:f>
              <c:numCache>
                <c:formatCode>"₹"\ #,##0;[Red]"₹"\ \-#,##0</c:formatCode>
                <c:ptCount val="5"/>
                <c:pt idx="0">
                  <c:v>3424127.0090967268</c:v>
                </c:pt>
                <c:pt idx="1">
                  <c:v>1896222.291469276</c:v>
                </c:pt>
                <c:pt idx="2">
                  <c:v>14858.138082593679</c:v>
                </c:pt>
                <c:pt idx="3">
                  <c:v>-951781.94836925715</c:v>
                </c:pt>
                <c:pt idx="4">
                  <c:v>-2279449.1990861595</c:v>
                </c:pt>
              </c:numCache>
            </c:numRef>
          </c:val>
          <c:smooth val="0"/>
          <c:extLst>
            <c:ext xmlns:c16="http://schemas.microsoft.com/office/drawing/2014/chart" uri="{C3380CC4-5D6E-409C-BE32-E72D297353CC}">
              <c16:uniqueId val="{00000004-9541-4DEA-A1BE-20F45CD94AAB}"/>
            </c:ext>
          </c:extLst>
        </c:ser>
        <c:dLbls>
          <c:showLegendKey val="0"/>
          <c:showVal val="0"/>
          <c:showCatName val="0"/>
          <c:showSerName val="0"/>
          <c:showPercent val="0"/>
          <c:showBubbleSize val="0"/>
        </c:dLbls>
        <c:marker val="1"/>
        <c:smooth val="0"/>
        <c:axId val="444712512"/>
        <c:axId val="448742336"/>
      </c:lineChart>
      <c:lineChart>
        <c:grouping val="standard"/>
        <c:varyColors val="0"/>
        <c:ser>
          <c:idx val="4"/>
          <c:order val="4"/>
          <c:tx>
            <c:strRef>
              <c:f>'Sensitivity Tables'!$E$19</c:f>
              <c:strCache>
                <c:ptCount val="1"/>
                <c:pt idx="0">
                  <c:v>LRF</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val>
            <c:numRef>
              <c:f>'Sensitivity Tables'!$E$20:$E$24</c:f>
              <c:numCache>
                <c:formatCode>0.0%</c:formatCode>
                <c:ptCount val="5"/>
                <c:pt idx="0">
                  <c:v>9.4208075124315852E-2</c:v>
                </c:pt>
                <c:pt idx="1">
                  <c:v>9.8249971036662415E-2</c:v>
                </c:pt>
                <c:pt idx="2">
                  <c:v>0.10354022819197553</c:v>
                </c:pt>
                <c:pt idx="3">
                  <c:v>0.10640532334483958</c:v>
                </c:pt>
                <c:pt idx="4">
                  <c:v>0.11051802046989095</c:v>
                </c:pt>
              </c:numCache>
            </c:numRef>
          </c:val>
          <c:smooth val="0"/>
          <c:extLst>
            <c:ext xmlns:c16="http://schemas.microsoft.com/office/drawing/2014/chart" uri="{C3380CC4-5D6E-409C-BE32-E72D297353CC}">
              <c16:uniqueId val="{00000005-9541-4DEA-A1BE-20F45CD94AAB}"/>
            </c:ext>
          </c:extLst>
        </c:ser>
        <c:dLbls>
          <c:showLegendKey val="0"/>
          <c:showVal val="0"/>
          <c:showCatName val="0"/>
          <c:showSerName val="0"/>
          <c:showPercent val="0"/>
          <c:showBubbleSize val="0"/>
        </c:dLbls>
        <c:marker val="1"/>
        <c:smooth val="0"/>
        <c:axId val="1095020112"/>
        <c:axId val="1095016752"/>
      </c:lineChart>
      <c:catAx>
        <c:axId val="4447125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100"/>
                  <a:t>wacc</a:t>
                </a:r>
              </a:p>
            </c:rich>
          </c:tx>
          <c:layout>
            <c:manualLayout>
              <c:xMode val="edge"/>
              <c:yMode val="edge"/>
              <c:x val="0.47691393418621864"/>
              <c:y val="0.91983800591805009"/>
            </c:manualLayout>
          </c:layout>
          <c:overlay val="0"/>
          <c:spPr>
            <a:solidFill>
              <a:schemeClr val="accent6">
                <a:lumMod val="50000"/>
              </a:schemeClr>
            </a:solid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8742336"/>
        <c:crosses val="autoZero"/>
        <c:auto val="1"/>
        <c:lblAlgn val="ctr"/>
        <c:lblOffset val="100"/>
        <c:noMultiLvlLbl val="0"/>
      </c:catAx>
      <c:valAx>
        <c:axId val="44874233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712512"/>
        <c:crosses val="autoZero"/>
        <c:crossBetween val="between"/>
      </c:valAx>
      <c:valAx>
        <c:axId val="1095016752"/>
        <c:scaling>
          <c:orientation val="minMax"/>
        </c:scaling>
        <c:delete val="0"/>
        <c:axPos val="r"/>
        <c:title>
          <c:tx>
            <c:rich>
              <a:bodyPr rot="-5400000" spcFirstLastPara="1" vertOverflow="ellipsis" vert="horz" wrap="square" anchor="ctr" anchorCtr="1"/>
              <a:lstStyle/>
              <a:p>
                <a:pPr>
                  <a:defRPr lang="en-IN" sz="900" b="1" i="0" u="none" strike="noStrike" kern="1200" cap="all" baseline="0">
                    <a:solidFill>
                      <a:sysClr val="window" lastClr="FFFFFF">
                        <a:lumMod val="85000"/>
                      </a:sysClr>
                    </a:solidFill>
                    <a:latin typeface="+mn-lt"/>
                    <a:ea typeface="+mn-ea"/>
                    <a:cs typeface="+mn-cs"/>
                  </a:defRPr>
                </a:pPr>
                <a:r>
                  <a:rPr lang="en-IN" sz="1400" b="1" i="0" u="none" strike="noStrike" kern="1200" cap="all" baseline="0">
                    <a:solidFill>
                      <a:sysClr val="window" lastClr="FFFFFF">
                        <a:lumMod val="85000"/>
                      </a:sysClr>
                    </a:solidFill>
                    <a:latin typeface="+mn-lt"/>
                    <a:ea typeface="+mn-ea"/>
                    <a:cs typeface="+mn-cs"/>
                  </a:rPr>
                  <a:t>lrf</a:t>
                </a:r>
              </a:p>
            </c:rich>
          </c:tx>
          <c:layout>
            <c:manualLayout>
              <c:xMode val="edge"/>
              <c:yMode val="edge"/>
              <c:x val="0.93054428668018929"/>
              <c:y val="0.45726507514586157"/>
            </c:manualLayout>
          </c:layout>
          <c:overlay val="0"/>
          <c:spPr>
            <a:solidFill>
              <a:schemeClr val="accent6">
                <a:lumMod val="50000"/>
              </a:schemeClr>
            </a:solidFill>
            <a:ln>
              <a:noFill/>
            </a:ln>
            <a:effectLst/>
          </c:spPr>
          <c:txPr>
            <a:bodyPr rot="-5400000" spcFirstLastPara="1" vertOverflow="ellipsis" vert="horz" wrap="square" anchor="ctr" anchorCtr="1"/>
            <a:lstStyle/>
            <a:p>
              <a:pPr>
                <a:defRPr lang="en-IN" sz="900" b="1" i="0" u="none" strike="noStrike" kern="1200" cap="all" baseline="0">
                  <a:solidFill>
                    <a:sysClr val="window" lastClr="FFFFFF">
                      <a:lumMod val="85000"/>
                    </a:sys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020112"/>
        <c:crosses val="max"/>
        <c:crossBetween val="between"/>
      </c:valAx>
      <c:catAx>
        <c:axId val="1095020112"/>
        <c:scaling>
          <c:orientation val="minMax"/>
        </c:scaling>
        <c:delete val="1"/>
        <c:axPos val="b"/>
        <c:majorTickMark val="none"/>
        <c:minorTickMark val="none"/>
        <c:tickLblPos val="nextTo"/>
        <c:crossAx val="1095016752"/>
        <c:crosses val="autoZero"/>
        <c:auto val="1"/>
        <c:lblAlgn val="ctr"/>
        <c:lblOffset val="100"/>
        <c:noMultiLvlLbl val="0"/>
      </c:catAx>
      <c:spPr>
        <a:noFill/>
        <a:ln>
          <a:noFill/>
        </a:ln>
        <a:effectLst/>
      </c:spPr>
    </c:plotArea>
    <c:legend>
      <c:legendPos val="r"/>
      <c:legendEntry>
        <c:idx val="0"/>
        <c:delete val="1"/>
      </c:legendEntry>
      <c:layout>
        <c:manualLayout>
          <c:xMode val="edge"/>
          <c:yMode val="edge"/>
          <c:x val="1.467180953293617E-2"/>
          <c:y val="4.3785188802460823E-2"/>
          <c:w val="0.54762987439113608"/>
          <c:h val="5.00630708751712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8</xdr:col>
      <xdr:colOff>567265</xdr:colOff>
      <xdr:row>1</xdr:row>
      <xdr:rowOff>112889</xdr:rowOff>
    </xdr:from>
    <xdr:to>
      <xdr:col>10</xdr:col>
      <xdr:colOff>1194645</xdr:colOff>
      <xdr:row>25</xdr:row>
      <xdr:rowOff>32173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91054</xdr:colOff>
      <xdr:row>54</xdr:row>
      <xdr:rowOff>76969</xdr:rowOff>
    </xdr:from>
    <xdr:to>
      <xdr:col>9</xdr:col>
      <xdr:colOff>38484</xdr:colOff>
      <xdr:row>77</xdr:row>
      <xdr:rowOff>91890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91825</xdr:colOff>
      <xdr:row>28</xdr:row>
      <xdr:rowOff>168796</xdr:rowOff>
    </xdr:from>
    <xdr:to>
      <xdr:col>9</xdr:col>
      <xdr:colOff>68964</xdr:colOff>
      <xdr:row>52</xdr:row>
      <xdr:rowOff>14775</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92365</xdr:colOff>
      <xdr:row>3</xdr:row>
      <xdr:rowOff>83974</xdr:rowOff>
    </xdr:from>
    <xdr:to>
      <xdr:col>9</xdr:col>
      <xdr:colOff>23092</xdr:colOff>
      <xdr:row>26</xdr:row>
      <xdr:rowOff>92364</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107758</xdr:colOff>
      <xdr:row>78</xdr:row>
      <xdr:rowOff>76970</xdr:rowOff>
    </xdr:from>
    <xdr:to>
      <xdr:col>9</xdr:col>
      <xdr:colOff>69272</xdr:colOff>
      <xdr:row>102</xdr:row>
      <xdr:rowOff>69273</xdr:rowOff>
    </xdr:to>
    <xdr:graphicFrame macro="">
      <xdr:nvGraphicFramePr>
        <xdr:cNvPr id="5" name="Chart 4">
          <a:extLst>
            <a:ext uri="{FF2B5EF4-FFF2-40B4-BE49-F238E27FC236}">
              <a16:creationId xmlns:a16="http://schemas.microsoft.com/office/drawing/2014/main" id="{B8BF8214-39C9-4C47-AC96-3161C4892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B16"/>
  <sheetViews>
    <sheetView showGridLines="0" tabSelected="1" workbookViewId="0"/>
  </sheetViews>
  <sheetFormatPr defaultColWidth="8.85546875" defaultRowHeight="15"/>
  <cols>
    <col min="1" max="1" width="11.28515625" customWidth="1"/>
    <col min="2" max="2" width="89" customWidth="1"/>
  </cols>
  <sheetData>
    <row r="1" spans="1:2" s="10" customFormat="1" ht="21" customHeight="1">
      <c r="A1" s="18" t="s">
        <v>0</v>
      </c>
    </row>
    <row r="3" spans="1:2" ht="15.95" customHeight="1">
      <c r="A3" s="2" t="s">
        <v>1</v>
      </c>
      <c r="B3" s="1" t="s">
        <v>2</v>
      </c>
    </row>
    <row r="4" spans="1:2" ht="16.350000000000001" customHeight="1">
      <c r="A4" s="3" t="s">
        <v>3</v>
      </c>
      <c r="B4" t="s">
        <v>4</v>
      </c>
    </row>
    <row r="16" spans="1:2">
      <c r="A16" t="s">
        <v>5</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BA"/>
    <pageSetUpPr fitToPage="1"/>
  </sheetPr>
  <dimension ref="A1:Q38"/>
  <sheetViews>
    <sheetView showGridLines="0" workbookViewId="0">
      <pane ySplit="2" topLeftCell="A3" activePane="bottomLeft" state="frozen"/>
      <selection pane="bottomLeft" activeCell="G1" sqref="G1:L1"/>
    </sheetView>
  </sheetViews>
  <sheetFormatPr defaultColWidth="8.85546875" defaultRowHeight="15"/>
  <cols>
    <col min="1" max="1" width="24.42578125" style="70" customWidth="1"/>
    <col min="2" max="2" width="31.140625" customWidth="1"/>
    <col min="3" max="3" width="20.140625" bestFit="1" customWidth="1"/>
    <col min="4" max="4" width="24.85546875" customWidth="1"/>
    <col min="5" max="5" width="9" bestFit="1" customWidth="1"/>
    <col min="7" max="7" width="21.28515625" bestFit="1" customWidth="1"/>
    <col min="8" max="8" width="14.140625" customWidth="1"/>
    <col min="9" max="9" width="15.140625" customWidth="1"/>
    <col min="10" max="10" width="11.42578125" customWidth="1"/>
  </cols>
  <sheetData>
    <row r="1" spans="1:17" ht="33" customHeight="1">
      <c r="A1" s="110" t="s">
        <v>6</v>
      </c>
      <c r="B1" s="111"/>
      <c r="C1" s="111"/>
      <c r="D1" s="111"/>
      <c r="G1" s="112" t="s">
        <v>7</v>
      </c>
      <c r="H1" s="111"/>
      <c r="I1" s="111"/>
      <c r="J1" s="111"/>
      <c r="K1" s="111"/>
      <c r="L1" s="111"/>
      <c r="M1" s="114" t="s">
        <v>8</v>
      </c>
      <c r="N1" s="114"/>
      <c r="O1" s="114"/>
      <c r="P1" s="114"/>
      <c r="Q1" s="114"/>
    </row>
    <row r="2" spans="1:17" ht="25.7" customHeight="1">
      <c r="A2" s="44" t="s">
        <v>9</v>
      </c>
      <c r="B2" s="44" t="s">
        <v>10</v>
      </c>
      <c r="C2" s="44" t="s">
        <v>11</v>
      </c>
      <c r="D2" s="44" t="s">
        <v>12</v>
      </c>
      <c r="G2" s="51" t="s">
        <v>13</v>
      </c>
      <c r="H2" s="51" t="s">
        <v>14</v>
      </c>
      <c r="I2" s="51" t="s">
        <v>15</v>
      </c>
      <c r="J2" s="51" t="s">
        <v>16</v>
      </c>
      <c r="K2" s="51" t="s">
        <v>17</v>
      </c>
      <c r="L2" s="51" t="s">
        <v>18</v>
      </c>
      <c r="M2" s="114"/>
      <c r="N2" s="114"/>
      <c r="O2" s="114"/>
      <c r="P2" s="114"/>
      <c r="Q2" s="114"/>
    </row>
    <row r="3" spans="1:17">
      <c r="A3" s="2" t="s">
        <v>19</v>
      </c>
      <c r="B3" s="19" t="s">
        <v>20</v>
      </c>
      <c r="C3" s="65">
        <v>60000000</v>
      </c>
      <c r="D3" s="20" t="s">
        <v>21</v>
      </c>
      <c r="G3" s="19">
        <v>70000000</v>
      </c>
      <c r="H3" s="19">
        <v>0.55000000000000004</v>
      </c>
      <c r="I3" s="19">
        <v>0.95</v>
      </c>
      <c r="J3" s="19">
        <v>0.87</v>
      </c>
      <c r="K3" s="19">
        <v>0.08</v>
      </c>
      <c r="L3" s="19">
        <v>5000</v>
      </c>
    </row>
    <row r="4" spans="1:17">
      <c r="A4" s="2" t="s">
        <v>19</v>
      </c>
      <c r="B4" s="19" t="s">
        <v>22</v>
      </c>
      <c r="C4" s="65">
        <v>0.2</v>
      </c>
      <c r="D4" s="20" t="s">
        <v>23</v>
      </c>
      <c r="G4" s="19">
        <v>60000000</v>
      </c>
      <c r="H4" s="19">
        <v>0.45</v>
      </c>
      <c r="I4" s="19">
        <v>0.94</v>
      </c>
      <c r="J4" s="19">
        <v>0.85</v>
      </c>
      <c r="K4" s="19">
        <v>7.4999999999999997E-2</v>
      </c>
      <c r="L4" s="19">
        <v>4500</v>
      </c>
    </row>
    <row r="5" spans="1:17">
      <c r="A5" s="2" t="s">
        <v>19</v>
      </c>
      <c r="B5" s="19" t="s">
        <v>24</v>
      </c>
      <c r="C5" s="65">
        <v>0.95</v>
      </c>
      <c r="D5" s="20" t="s">
        <v>25</v>
      </c>
      <c r="G5" s="19">
        <v>50000000</v>
      </c>
      <c r="H5" s="19">
        <v>0.43</v>
      </c>
      <c r="I5" s="19">
        <v>0.93</v>
      </c>
      <c r="J5" s="19">
        <v>0.84</v>
      </c>
      <c r="K5" s="19">
        <v>7.0000000000000007E-2</v>
      </c>
      <c r="L5" s="19">
        <v>4000</v>
      </c>
    </row>
    <row r="6" spans="1:17">
      <c r="A6" s="2" t="s">
        <v>26</v>
      </c>
      <c r="B6" s="19" t="s">
        <v>27</v>
      </c>
      <c r="C6" s="65">
        <v>0.85</v>
      </c>
      <c r="D6" s="20" t="s">
        <v>28</v>
      </c>
      <c r="G6" s="19">
        <v>45000000</v>
      </c>
      <c r="H6" s="19">
        <v>0.4</v>
      </c>
      <c r="I6" s="19">
        <v>0.92</v>
      </c>
      <c r="J6" s="19">
        <v>0.83</v>
      </c>
      <c r="K6" s="19">
        <v>6.5000000000000002E-2</v>
      </c>
      <c r="L6" s="19">
        <v>3500</v>
      </c>
    </row>
    <row r="7" spans="1:17">
      <c r="A7" s="2" t="s">
        <v>26</v>
      </c>
      <c r="B7" s="19" t="s">
        <v>136</v>
      </c>
      <c r="C7" s="65">
        <f>C3*(1-C4)*C5</f>
        <v>45600000</v>
      </c>
      <c r="D7" s="20" t="s">
        <v>137</v>
      </c>
      <c r="G7" s="19">
        <v>40000000</v>
      </c>
      <c r="H7" s="19">
        <v>0.3</v>
      </c>
      <c r="I7" s="19">
        <v>0.91</v>
      </c>
      <c r="J7" s="19">
        <v>0.82</v>
      </c>
      <c r="K7" s="19">
        <v>0.06</v>
      </c>
      <c r="L7" s="19">
        <v>3000</v>
      </c>
    </row>
    <row r="8" spans="1:17">
      <c r="A8" s="2" t="s">
        <v>26</v>
      </c>
      <c r="B8" s="19" t="s">
        <v>116</v>
      </c>
      <c r="C8" s="68">
        <f>-LN(C6)</f>
        <v>0.16251892949777494</v>
      </c>
      <c r="D8" s="20" t="s">
        <v>117</v>
      </c>
      <c r="G8" s="19">
        <v>30000000</v>
      </c>
      <c r="H8" s="19">
        <v>0.2</v>
      </c>
      <c r="I8" s="19">
        <v>0.9</v>
      </c>
      <c r="J8" s="19">
        <v>0.55000000000000004</v>
      </c>
      <c r="K8" s="19">
        <v>5.5E-2</v>
      </c>
      <c r="L8" s="19">
        <v>2500</v>
      </c>
    </row>
    <row r="9" spans="1:17">
      <c r="A9" s="2" t="s">
        <v>26</v>
      </c>
      <c r="B9" s="19" t="s">
        <v>138</v>
      </c>
      <c r="C9" s="68">
        <v>12</v>
      </c>
      <c r="D9" s="20"/>
    </row>
    <row r="10" spans="1:17">
      <c r="A10" s="2" t="s">
        <v>26</v>
      </c>
      <c r="B10" s="19" t="s">
        <v>194</v>
      </c>
      <c r="C10" s="68">
        <v>0.45</v>
      </c>
      <c r="D10" s="20" t="s">
        <v>193</v>
      </c>
      <c r="G10" s="113" t="s">
        <v>49</v>
      </c>
      <c r="H10" s="111"/>
      <c r="I10" s="111"/>
      <c r="J10" s="111"/>
    </row>
    <row r="11" spans="1:17" ht="15.95" customHeight="1">
      <c r="A11" s="2" t="s">
        <v>26</v>
      </c>
      <c r="B11" s="19" t="s">
        <v>119</v>
      </c>
      <c r="C11" s="67">
        <f>MAX(C3*(1-C4)*C5*EXP(-C8*C9),C3*(1-C4)*C5*0.45)*(1-C28)</f>
        <v>19904400</v>
      </c>
      <c r="D11" s="66" t="s">
        <v>118</v>
      </c>
      <c r="G11" s="14" t="s">
        <v>51</v>
      </c>
      <c r="H11" s="14" t="s">
        <v>52</v>
      </c>
      <c r="I11" s="14" t="s">
        <v>53</v>
      </c>
      <c r="J11" s="14" t="s">
        <v>54</v>
      </c>
    </row>
    <row r="12" spans="1:17">
      <c r="A12" s="2" t="s">
        <v>26</v>
      </c>
      <c r="B12" s="19" t="s">
        <v>29</v>
      </c>
      <c r="C12" s="65">
        <v>25</v>
      </c>
      <c r="D12" s="20" t="s">
        <v>30</v>
      </c>
      <c r="G12" t="s">
        <v>57</v>
      </c>
      <c r="H12" s="7">
        <f>NPV(WACC!$B$8,Cashflow!$H$5:$H$16)+Cashflow!$H$4</f>
        <v>125394.62294517457</v>
      </c>
      <c r="I12" s="15">
        <f>IRR(Cashflow!$H$4:$H$16)</f>
        <v>7.2971751955550834E-2</v>
      </c>
      <c r="J12" s="16">
        <f>WACC!$B$8</f>
        <v>7.2525000000000006E-2</v>
      </c>
    </row>
    <row r="13" spans="1:17">
      <c r="A13" s="2" t="s">
        <v>120</v>
      </c>
      <c r="B13" s="19" t="s">
        <v>121</v>
      </c>
      <c r="C13" s="65">
        <v>0.04</v>
      </c>
      <c r="D13" s="20" t="s">
        <v>122</v>
      </c>
      <c r="G13" t="s">
        <v>58</v>
      </c>
      <c r="H13" s="7">
        <f>NPV(WACC!$B$8,Cashflow!$H$20:$H$31)+Cashflow!$H$19</f>
        <v>-7843742.5113862008</v>
      </c>
      <c r="I13" s="16">
        <f>IRR(Cashflow!$H$19:$H$31)</f>
        <v>4.3865955249026367E-2</v>
      </c>
      <c r="J13" s="16">
        <f>WACC!$B$8</f>
        <v>7.2525000000000006E-2</v>
      </c>
    </row>
    <row r="14" spans="1:17">
      <c r="A14" s="2" t="s">
        <v>120</v>
      </c>
      <c r="B14" s="19" t="s">
        <v>115</v>
      </c>
      <c r="C14" s="65">
        <v>1.1000000000000001</v>
      </c>
      <c r="D14" s="20"/>
      <c r="G14" t="s">
        <v>59</v>
      </c>
      <c r="H14" s="7">
        <f>NPV(WACC!$B$8,Cashflow!$H$35:$H$46)+Cashflow!$H$34</f>
        <v>-11603908.345367186</v>
      </c>
      <c r="I14" s="16">
        <f>IRR(Cashflow!$H$34:$H$46)</f>
        <v>2.7947065552830441E-2</v>
      </c>
      <c r="J14" s="16">
        <f>WACC!$B$8</f>
        <v>7.2525000000000006E-2</v>
      </c>
    </row>
    <row r="15" spans="1:17">
      <c r="A15" s="2" t="s">
        <v>120</v>
      </c>
      <c r="B15" s="19" t="s">
        <v>123</v>
      </c>
      <c r="C15" s="65">
        <v>5.5E-2</v>
      </c>
      <c r="D15" s="20" t="s">
        <v>125</v>
      </c>
    </row>
    <row r="16" spans="1:17" ht="45">
      <c r="A16" s="2" t="s">
        <v>120</v>
      </c>
      <c r="B16" s="19" t="s">
        <v>124</v>
      </c>
      <c r="C16" s="65">
        <v>2.5000000000000001E-2</v>
      </c>
      <c r="D16" s="69" t="s">
        <v>126</v>
      </c>
      <c r="G16" s="17" t="s">
        <v>62</v>
      </c>
      <c r="H16" s="17" t="s">
        <v>57</v>
      </c>
    </row>
    <row r="17" spans="1:8" ht="30">
      <c r="A17" s="2" t="s">
        <v>127</v>
      </c>
      <c r="B17" s="19" t="s">
        <v>128</v>
      </c>
      <c r="C17" s="65">
        <v>1.4999999999999999E-2</v>
      </c>
      <c r="D17" s="69" t="s">
        <v>130</v>
      </c>
      <c r="G17" t="s">
        <v>63</v>
      </c>
      <c r="H17" s="88">
        <f>Base_Value!$H$2</f>
        <v>45600000</v>
      </c>
    </row>
    <row r="18" spans="1:8">
      <c r="A18" s="2" t="s">
        <v>127</v>
      </c>
      <c r="B18" s="19" t="s">
        <v>129</v>
      </c>
      <c r="C18" s="65">
        <v>7.4999999999999997E-3</v>
      </c>
      <c r="D18" s="20" t="s">
        <v>131</v>
      </c>
      <c r="G18" t="s">
        <v>64</v>
      </c>
      <c r="H18" s="88">
        <f>Market_Value!$E$3</f>
        <v>45600000</v>
      </c>
    </row>
    <row r="19" spans="1:8">
      <c r="A19" s="2" t="s">
        <v>127</v>
      </c>
      <c r="B19" s="19" t="s">
        <v>132</v>
      </c>
      <c r="C19" s="65">
        <v>5.0000000000000001E-3</v>
      </c>
      <c r="D19" s="20" t="s">
        <v>133</v>
      </c>
      <c r="G19" t="s">
        <v>65</v>
      </c>
      <c r="H19" s="88">
        <f>'LRF-Model'!$E$3</f>
        <v>4722365.7540825196</v>
      </c>
    </row>
    <row r="20" spans="1:8">
      <c r="A20" s="2" t="s">
        <v>31</v>
      </c>
      <c r="B20" s="19" t="s">
        <v>134</v>
      </c>
      <c r="C20" s="68">
        <f>(1-(1+$C$34)^-$C$9)/$C$34</f>
        <v>7.8368935914768274</v>
      </c>
      <c r="D20" s="20" t="s">
        <v>33</v>
      </c>
      <c r="G20" t="s">
        <v>66</v>
      </c>
      <c r="H20" s="88">
        <f>Cashflow!$E$16</f>
        <v>19904400</v>
      </c>
    </row>
    <row r="21" spans="1:8">
      <c r="A21" s="2" t="s">
        <v>31</v>
      </c>
      <c r="B21" s="19" t="s">
        <v>135</v>
      </c>
      <c r="C21" s="67">
        <f>C11/(1+C34)^C9</f>
        <v>8591322.0852210689</v>
      </c>
      <c r="D21" s="20" t="s">
        <v>141</v>
      </c>
      <c r="G21" t="s">
        <v>67</v>
      </c>
      <c r="H21" s="7">
        <f>DCF!$B$3</f>
        <v>7841.2190730199218</v>
      </c>
    </row>
    <row r="22" spans="1:8">
      <c r="A22" s="2" t="s">
        <v>31</v>
      </c>
      <c r="B22" s="19" t="s">
        <v>139</v>
      </c>
      <c r="C22" s="67">
        <f>(C7-C21)/C20</f>
        <v>4722365.7540825196</v>
      </c>
      <c r="D22" s="20"/>
      <c r="G22" t="s">
        <v>68</v>
      </c>
      <c r="H22" s="16">
        <f>DCF!$C$3</f>
        <v>7.2971751955550834E-2</v>
      </c>
    </row>
    <row r="23" spans="1:8">
      <c r="A23" s="2" t="s">
        <v>31</v>
      </c>
      <c r="B23" s="19" t="s">
        <v>17</v>
      </c>
      <c r="C23" s="73">
        <f>C24/12</f>
        <v>8.6300543751508026E-3</v>
      </c>
      <c r="D23" s="20"/>
      <c r="G23" t="s">
        <v>54</v>
      </c>
      <c r="H23" s="16">
        <f>WACC!$B$8</f>
        <v>7.2525000000000006E-2</v>
      </c>
    </row>
    <row r="24" spans="1:8">
      <c r="A24" s="2" t="s">
        <v>31</v>
      </c>
      <c r="B24" s="19" t="s">
        <v>32</v>
      </c>
      <c r="C24" s="73">
        <f>C22/C7</f>
        <v>0.10356065250180964</v>
      </c>
    </row>
    <row r="25" spans="1:8">
      <c r="A25" s="2" t="s">
        <v>31</v>
      </c>
      <c r="B25" s="19" t="s">
        <v>34</v>
      </c>
      <c r="C25" s="65">
        <v>12</v>
      </c>
      <c r="D25" s="20" t="s">
        <v>35</v>
      </c>
    </row>
    <row r="26" spans="1:8">
      <c r="A26" s="2" t="s">
        <v>36</v>
      </c>
      <c r="B26" s="19" t="s">
        <v>37</v>
      </c>
      <c r="C26" s="65">
        <v>3000</v>
      </c>
      <c r="D26" s="20" t="s">
        <v>38</v>
      </c>
    </row>
    <row r="27" spans="1:8">
      <c r="A27" s="2" t="s">
        <v>39</v>
      </c>
      <c r="B27" s="19" t="s">
        <v>40</v>
      </c>
      <c r="C27" s="65">
        <v>5</v>
      </c>
      <c r="D27" s="20" t="s">
        <v>41</v>
      </c>
    </row>
    <row r="28" spans="1:8">
      <c r="A28" s="2" t="s">
        <v>42</v>
      </c>
      <c r="B28" s="19" t="s">
        <v>43</v>
      </c>
      <c r="C28" s="65">
        <v>0.03</v>
      </c>
      <c r="D28" s="20" t="s">
        <v>44</v>
      </c>
    </row>
    <row r="29" spans="1:8">
      <c r="A29" s="2" t="s">
        <v>45</v>
      </c>
      <c r="B29" s="19" t="s">
        <v>46</v>
      </c>
      <c r="C29" s="65">
        <f>C13+C14*C15+C17+C18+C19</f>
        <v>0.128</v>
      </c>
      <c r="D29" s="20" t="s">
        <v>142</v>
      </c>
    </row>
    <row r="30" spans="1:8">
      <c r="A30" s="2" t="s">
        <v>45</v>
      </c>
      <c r="B30" s="19" t="s">
        <v>47</v>
      </c>
      <c r="C30" s="65">
        <f>C13+C16</f>
        <v>6.5000000000000002E-2</v>
      </c>
      <c r="D30" s="20" t="s">
        <v>48</v>
      </c>
    </row>
    <row r="31" spans="1:8" ht="14.45" customHeight="1">
      <c r="A31" s="2" t="s">
        <v>45</v>
      </c>
      <c r="B31" s="19" t="s">
        <v>50</v>
      </c>
      <c r="C31" s="65">
        <v>0.7</v>
      </c>
      <c r="D31" s="20" t="s">
        <v>143</v>
      </c>
    </row>
    <row r="32" spans="1:8">
      <c r="A32" s="2" t="s">
        <v>45</v>
      </c>
      <c r="B32" s="19" t="s">
        <v>98</v>
      </c>
      <c r="C32" s="65">
        <f>1-C31</f>
        <v>0.30000000000000004</v>
      </c>
      <c r="D32" s="20" t="s">
        <v>143</v>
      </c>
    </row>
    <row r="33" spans="1:4">
      <c r="A33" s="2" t="s">
        <v>45</v>
      </c>
      <c r="B33" s="19" t="s">
        <v>55</v>
      </c>
      <c r="C33" s="65">
        <v>0.25</v>
      </c>
      <c r="D33" s="20" t="s">
        <v>56</v>
      </c>
    </row>
    <row r="34" spans="1:4">
      <c r="A34" s="2" t="s">
        <v>45</v>
      </c>
      <c r="B34" s="19" t="s">
        <v>54</v>
      </c>
      <c r="C34" s="87">
        <f>C32*C29+C31*C30*(1-C33)</f>
        <v>7.2525000000000006E-2</v>
      </c>
    </row>
    <row r="36" spans="1:4">
      <c r="A36" s="2" t="s">
        <v>60</v>
      </c>
    </row>
    <row r="37" spans="1:4" ht="90">
      <c r="A37" s="13" t="s">
        <v>61</v>
      </c>
    </row>
    <row r="38" spans="1:4">
      <c r="A38"/>
    </row>
  </sheetData>
  <mergeCells count="4">
    <mergeCell ref="A1:D1"/>
    <mergeCell ref="G1:L1"/>
    <mergeCell ref="G10:J10"/>
    <mergeCell ref="M1:Q2"/>
  </mergeCells>
  <dataValidations count="5">
    <dataValidation type="list" allowBlank="1" showInputMessage="1" showErrorMessage="1" sqref="C3" xr:uid="{00000000-0002-0000-0100-000000000000}">
      <formula1>$G$3:$G$8</formula1>
    </dataValidation>
    <dataValidation type="list" allowBlank="1" showInputMessage="1" showErrorMessage="1" sqref="C4" xr:uid="{00000000-0002-0000-0100-000001000000}">
      <formula1>$H$3:$H$8</formula1>
    </dataValidation>
    <dataValidation type="list" allowBlank="1" showInputMessage="1" showErrorMessage="1" sqref="C5" xr:uid="{00000000-0002-0000-0100-000002000000}">
      <formula1>$I$3:$I$8</formula1>
    </dataValidation>
    <dataValidation type="list" allowBlank="1" showInputMessage="1" showErrorMessage="1" sqref="C26" xr:uid="{00000000-0002-0000-0100-000005000000}">
      <formula1>$L$3:$L$8</formula1>
    </dataValidation>
    <dataValidation type="list" allowBlank="1" showInputMessage="1" showErrorMessage="1" sqref="C6" xr:uid="{00000000-0002-0000-0100-000003000000}">
      <formula1>$J$3:$J$8</formula1>
    </dataValidation>
  </dataValidations>
  <pageMargins left="0.75" right="0.75" top="1" bottom="1" header="0.5" footer="0.5"/>
  <pageSetup scale="3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39FBF-F95B-432D-BE08-16AF93B3EF3C}">
  <sheetPr>
    <tabColor rgb="FFFFFFBA"/>
    <pageSetUpPr autoPageBreaks="0" fitToPage="1"/>
  </sheetPr>
  <dimension ref="A1:N44"/>
  <sheetViews>
    <sheetView showGridLines="0" workbookViewId="0">
      <selection activeCell="J21" sqref="J21"/>
    </sheetView>
  </sheetViews>
  <sheetFormatPr defaultColWidth="8.85546875" defaultRowHeight="15"/>
  <cols>
    <col min="1" max="1" width="19.42578125" bestFit="1" customWidth="1"/>
    <col min="2" max="2" width="14.140625" bestFit="1" customWidth="1"/>
    <col min="3" max="5" width="12.140625" bestFit="1" customWidth="1"/>
    <col min="6" max="6" width="12.7109375" bestFit="1" customWidth="1"/>
    <col min="7" max="14" width="12.140625" bestFit="1" customWidth="1"/>
  </cols>
  <sheetData>
    <row r="1" spans="1:14" s="89" customFormat="1">
      <c r="A1" s="89" t="s">
        <v>148</v>
      </c>
      <c r="B1" s="90" t="s">
        <v>149</v>
      </c>
      <c r="C1" s="90" t="s">
        <v>150</v>
      </c>
      <c r="D1" s="90" t="s">
        <v>151</v>
      </c>
      <c r="E1" s="90" t="s">
        <v>152</v>
      </c>
      <c r="F1" s="90" t="s">
        <v>153</v>
      </c>
      <c r="G1" s="90" t="s">
        <v>154</v>
      </c>
      <c r="H1" s="90" t="s">
        <v>155</v>
      </c>
      <c r="I1" s="90" t="s">
        <v>156</v>
      </c>
      <c r="J1" s="90" t="s">
        <v>157</v>
      </c>
      <c r="K1" s="90" t="s">
        <v>158</v>
      </c>
      <c r="L1" s="90" t="s">
        <v>159</v>
      </c>
      <c r="M1" s="90" t="s">
        <v>160</v>
      </c>
      <c r="N1" s="90" t="s">
        <v>161</v>
      </c>
    </row>
    <row r="2" spans="1:14">
      <c r="A2" s="86" t="s">
        <v>163</v>
      </c>
      <c r="B2" s="91" cm="1">
        <f t="array" ref="B2:N2">TRANSPOSE(Cashflow!C4:C16)</f>
        <v>0</v>
      </c>
      <c r="C2" s="91">
        <v>4722365.7540825196</v>
      </c>
      <c r="D2" s="91">
        <v>4014010.8909701416</v>
      </c>
      <c r="E2" s="91">
        <v>3411909.2573246202</v>
      </c>
      <c r="F2" s="91">
        <v>2900122.8687259271</v>
      </c>
      <c r="G2" s="91">
        <v>2465104.4384170379</v>
      </c>
      <c r="H2" s="91">
        <v>2125064.5893371338</v>
      </c>
      <c r="I2" s="91">
        <v>2125064.5893371338</v>
      </c>
      <c r="J2" s="91">
        <v>2125064.5893371338</v>
      </c>
      <c r="K2" s="91">
        <v>2125064.5893371338</v>
      </c>
      <c r="L2" s="91">
        <v>2125064.5893371338</v>
      </c>
      <c r="M2" s="91">
        <v>2125064.5893371338</v>
      </c>
      <c r="N2" s="91">
        <v>2125064.5893371338</v>
      </c>
    </row>
    <row r="3" spans="1:14">
      <c r="A3" s="86" t="s">
        <v>168</v>
      </c>
      <c r="B3" s="91">
        <f>-Assumptions!$C$7</f>
        <v>-45600000</v>
      </c>
      <c r="C3" s="91" t="s">
        <v>166</v>
      </c>
      <c r="D3" s="91" t="s">
        <v>166</v>
      </c>
      <c r="E3" s="91" t="s">
        <v>166</v>
      </c>
      <c r="F3" s="91" t="s">
        <v>166</v>
      </c>
      <c r="G3" s="91" t="s">
        <v>166</v>
      </c>
      <c r="H3" s="91" t="s">
        <v>166</v>
      </c>
      <c r="I3" s="91" t="s">
        <v>166</v>
      </c>
      <c r="J3" s="91" t="s">
        <v>166</v>
      </c>
      <c r="K3" s="91" t="s">
        <v>166</v>
      </c>
      <c r="L3" s="91" t="s">
        <v>166</v>
      </c>
      <c r="M3" s="91" t="s">
        <v>166</v>
      </c>
      <c r="N3" s="91" t="s">
        <v>166</v>
      </c>
    </row>
    <row r="4" spans="1:14">
      <c r="A4" s="86" t="s">
        <v>167</v>
      </c>
      <c r="B4" s="91" t="s">
        <v>166</v>
      </c>
      <c r="C4" s="91">
        <f>C2/(1+Assumptions!$C$34)^SUBSTITUTE('Sensitivity Tables'!C$1," Year","")</f>
        <v>4403035.5973823639</v>
      </c>
      <c r="D4" s="91">
        <f>D2/(1+Assumptions!$C$34)^SUBSTITUTE('Sensitivity Tables'!D$1," Year","")</f>
        <v>3489503.9815155915</v>
      </c>
      <c r="E4" s="91">
        <f>E2/(1+Assumptions!$C$34)^SUBSTITUTE('Sensitivity Tables'!E$1," Year","")</f>
        <v>2765509.7869870192</v>
      </c>
      <c r="F4" s="91">
        <f>F2/(1+Assumptions!$C$34)^SUBSTITUTE('Sensitivity Tables'!F$1," Year","")</f>
        <v>2191728.2291219006</v>
      </c>
      <c r="G4" s="91">
        <f>G2/(1+Assumptions!$C$34)^SUBSTITUTE('Sensitivity Tables'!G$1," Year","")</f>
        <v>1736993.5383824296</v>
      </c>
      <c r="H4" s="91">
        <f>H2/(1+Assumptions!$C$34)^SUBSTITUTE('Sensitivity Tables'!H$1," Year","")</f>
        <v>1396135.5625461752</v>
      </c>
      <c r="I4" s="91">
        <f>I2/(1+Assumptions!$C$34)^SUBSTITUTE('Sensitivity Tables'!I$1," Year","")</f>
        <v>1301727.7569717958</v>
      </c>
      <c r="J4" s="91">
        <f>J2/(1+Assumptions!$C$34)^SUBSTITUTE('Sensitivity Tables'!J$1," Year","")</f>
        <v>1213703.8828668757</v>
      </c>
      <c r="K4" s="91">
        <f>K2/(1+Assumptions!$C$34)^SUBSTITUTE('Sensitivity Tables'!K$1," Year","")</f>
        <v>1131632.2536694957</v>
      </c>
      <c r="L4" s="91">
        <f>L2/(1+Assumptions!$C$34)^SUBSTITUTE('Sensitivity Tables'!L$1," Year","")</f>
        <v>1055110.3738089981</v>
      </c>
      <c r="M4" s="91">
        <f>M2/(1+Assumptions!$C$34)^SUBSTITUTE('Sensitivity Tables'!M$1," Year","")</f>
        <v>983762.96478776564</v>
      </c>
      <c r="N4" s="91">
        <f>N2/(1+Assumptions!$C$34)^SUBSTITUTE('Sensitivity Tables'!N$1," Year","")</f>
        <v>917240.12474092969</v>
      </c>
    </row>
    <row r="5" spans="1:14">
      <c r="A5" s="86" t="s">
        <v>164</v>
      </c>
      <c r="B5" s="91" t="s">
        <v>166</v>
      </c>
      <c r="C5" s="91" t="s">
        <v>166</v>
      </c>
      <c r="D5" s="91" t="s">
        <v>166</v>
      </c>
      <c r="E5" s="91" t="s">
        <v>166</v>
      </c>
      <c r="F5" s="91" t="s">
        <v>166</v>
      </c>
      <c r="G5" s="91" t="s">
        <v>166</v>
      </c>
      <c r="H5" s="91" t="s">
        <v>166</v>
      </c>
      <c r="I5" s="91" t="s">
        <v>166</v>
      </c>
      <c r="J5" s="91" t="s">
        <v>166</v>
      </c>
      <c r="K5" s="91" t="s">
        <v>166</v>
      </c>
      <c r="L5" s="91" t="s">
        <v>166</v>
      </c>
      <c r="M5" s="91" t="s">
        <v>166</v>
      </c>
      <c r="N5" s="91">
        <f>Assumptions!$C$11</f>
        <v>19904400</v>
      </c>
    </row>
    <row r="6" spans="1:14">
      <c r="A6" s="86" t="s">
        <v>165</v>
      </c>
      <c r="B6" s="91" t="s">
        <v>166</v>
      </c>
      <c r="C6" s="91" t="s">
        <v>166</v>
      </c>
      <c r="D6" s="91" t="s">
        <v>166</v>
      </c>
      <c r="E6" s="91" t="s">
        <v>166</v>
      </c>
      <c r="F6" s="91" t="s">
        <v>166</v>
      </c>
      <c r="G6" s="91" t="s">
        <v>166</v>
      </c>
      <c r="H6" s="91" t="s">
        <v>166</v>
      </c>
      <c r="I6" s="91" t="s">
        <v>166</v>
      </c>
      <c r="J6" s="91" t="s">
        <v>166</v>
      </c>
      <c r="K6" s="91" t="s">
        <v>166</v>
      </c>
      <c r="L6" s="91" t="s">
        <v>166</v>
      </c>
      <c r="M6" s="91" t="s">
        <v>166</v>
      </c>
      <c r="N6" s="91">
        <f>N5/(1+Assumptions!$C$34)^12</f>
        <v>8591322.0852210689</v>
      </c>
    </row>
    <row r="7" spans="1:14">
      <c r="A7" s="86" t="s">
        <v>195</v>
      </c>
      <c r="B7" s="91" cm="1">
        <f t="array" ref="B7:N7">TRANSPOSE(Cashflow!F4:F16)</f>
        <v>0</v>
      </c>
      <c r="C7" s="91">
        <v>0</v>
      </c>
      <c r="D7" s="91">
        <v>2090000</v>
      </c>
      <c r="E7" s="91">
        <v>2090000</v>
      </c>
      <c r="F7" s="91">
        <v>2090000</v>
      </c>
      <c r="G7" s="91">
        <v>2090000</v>
      </c>
      <c r="H7" s="91">
        <v>2090000</v>
      </c>
      <c r="I7" s="91">
        <v>2090000</v>
      </c>
      <c r="J7" s="91">
        <v>2090000</v>
      </c>
      <c r="K7" s="91">
        <v>2090000</v>
      </c>
      <c r="L7" s="91">
        <v>2090000</v>
      </c>
      <c r="M7" s="91">
        <v>2090000</v>
      </c>
      <c r="N7" s="91">
        <v>2090000</v>
      </c>
    </row>
    <row r="8" spans="1:14">
      <c r="A8" s="86" t="s">
        <v>196</v>
      </c>
      <c r="B8" s="91"/>
      <c r="C8" s="91">
        <f>C7/(1+Assumptions!$C$34)^SUBSTITUTE('Sensitivity Tables'!C$1," Year","")</f>
        <v>0</v>
      </c>
      <c r="D8" s="91">
        <f>D7/(1+Assumptions!$C$34)^SUBSTITUTE('Sensitivity Tables'!D$1," Year","")</f>
        <v>1816901.7273405886</v>
      </c>
      <c r="E8" s="91">
        <f>E7/(1+Assumptions!$C$34)^SUBSTITUTE('Sensitivity Tables'!E$1," Year","")</f>
        <v>1694041.3765092553</v>
      </c>
      <c r="F8" s="91">
        <f>F7/(1+Assumptions!$C$34)^SUBSTITUTE('Sensitivity Tables'!F$1," Year","")</f>
        <v>1579488.9410589547</v>
      </c>
      <c r="G8" s="91">
        <f>G7/(1+Assumptions!$C$34)^SUBSTITUTE('Sensitivity Tables'!G$1," Year","")</f>
        <v>1472682.6330938251</v>
      </c>
      <c r="H8" s="91">
        <f>H7/(1+Assumptions!$C$34)^SUBSTITUTE('Sensitivity Tables'!H$1," Year","")</f>
        <v>1373098.6532657281</v>
      </c>
      <c r="I8" s="91">
        <f>I7/(1+Assumptions!$C$34)^SUBSTITUTE('Sensitivity Tables'!I$1," Year","")</f>
        <v>1280248.6219582092</v>
      </c>
      <c r="J8" s="91">
        <f>J7/(1+Assumptions!$C$34)^SUBSTITUTE('Sensitivity Tables'!J$1," Year","")</f>
        <v>1193677.1841758555</v>
      </c>
      <c r="K8" s="91">
        <f>K7/(1+Assumptions!$C$34)^SUBSTITUTE('Sensitivity Tables'!K$1," Year","")</f>
        <v>1112959.7763929563</v>
      </c>
      <c r="L8" s="91">
        <f>L7/(1+Assumptions!$C$34)^SUBSTITUTE('Sensitivity Tables'!L$1," Year","")</f>
        <v>1037700.5444096467</v>
      </c>
      <c r="M8" s="91">
        <f>M7/(1+Assumptions!$C$34)^SUBSTITUTE('Sensitivity Tables'!M$1," Year","")</f>
        <v>967530.40200428606</v>
      </c>
      <c r="N8" s="91">
        <f>N7/(1+Assumptions!$C$34)^SUBSTITUTE('Sensitivity Tables'!N$1," Year","")</f>
        <v>902105.22086131887</v>
      </c>
    </row>
    <row r="9" spans="1:14" s="89" customFormat="1">
      <c r="A9" s="89" t="s">
        <v>162</v>
      </c>
      <c r="B9" s="90">
        <f>SUM(B2:B3,B5,B8)</f>
        <v>-45600000</v>
      </c>
      <c r="C9" s="90">
        <f t="shared" ref="C9:N9" si="0">SUM(C2:C3,C5,C8)</f>
        <v>4722365.7540825196</v>
      </c>
      <c r="D9" s="90">
        <f t="shared" si="0"/>
        <v>5830912.61831073</v>
      </c>
      <c r="E9" s="90">
        <f t="shared" si="0"/>
        <v>5105950.6338338759</v>
      </c>
      <c r="F9" s="90">
        <f t="shared" si="0"/>
        <v>4479611.8097848818</v>
      </c>
      <c r="G9" s="90">
        <f t="shared" si="0"/>
        <v>3937787.071510863</v>
      </c>
      <c r="H9" s="90">
        <f t="shared" si="0"/>
        <v>3498163.242602862</v>
      </c>
      <c r="I9" s="90">
        <f t="shared" si="0"/>
        <v>3405313.211295343</v>
      </c>
      <c r="J9" s="90">
        <f t="shared" si="0"/>
        <v>3318741.7735129893</v>
      </c>
      <c r="K9" s="90">
        <f t="shared" si="0"/>
        <v>3238024.3657300901</v>
      </c>
      <c r="L9" s="90">
        <f t="shared" si="0"/>
        <v>3162765.1337467805</v>
      </c>
      <c r="M9" s="90">
        <f t="shared" si="0"/>
        <v>3092594.99134142</v>
      </c>
      <c r="N9" s="90">
        <f t="shared" si="0"/>
        <v>22931569.810198452</v>
      </c>
    </row>
    <row r="12" spans="1:14">
      <c r="A12" s="86" t="s">
        <v>54</v>
      </c>
      <c r="B12" s="77">
        <f>Assumptions!C34</f>
        <v>7.2525000000000006E-2</v>
      </c>
    </row>
    <row r="13" spans="1:14">
      <c r="A13" s="86" t="s">
        <v>114</v>
      </c>
      <c r="B13" s="81">
        <f>N5/(1+B12)^12</f>
        <v>8591322.0852210689</v>
      </c>
    </row>
    <row r="14" spans="1:14">
      <c r="A14" s="86" t="s">
        <v>17</v>
      </c>
      <c r="B14" s="85">
        <f>Assumptions!$C$24</f>
        <v>0.10356065250180964</v>
      </c>
    </row>
    <row r="15" spans="1:14">
      <c r="A15" s="86" t="s">
        <v>52</v>
      </c>
      <c r="B15" s="7">
        <f>+N6+SUM(C4:N4)+SUM(C8:N8)+B3</f>
        <v>7841.2190730348229</v>
      </c>
    </row>
    <row r="16" spans="1:14">
      <c r="A16" s="86" t="s">
        <v>53</v>
      </c>
      <c r="B16" s="77">
        <f>IRR(B9:N9)</f>
        <v>5.4183700181247074E-2</v>
      </c>
    </row>
    <row r="18" spans="1:10">
      <c r="A18" s="3" t="s">
        <v>147</v>
      </c>
      <c r="B18" s="61"/>
      <c r="C18" s="61"/>
      <c r="D18" s="61"/>
      <c r="E18" s="61"/>
      <c r="F18" s="61"/>
    </row>
    <row r="19" spans="1:10">
      <c r="A19" s="51" t="s">
        <v>54</v>
      </c>
      <c r="B19" s="93" t="s">
        <v>145</v>
      </c>
      <c r="C19" s="93" t="s">
        <v>146</v>
      </c>
      <c r="D19" s="93" t="s">
        <v>144</v>
      </c>
      <c r="E19" s="93" t="s">
        <v>17</v>
      </c>
      <c r="F19" s="93" t="s">
        <v>52</v>
      </c>
    </row>
    <row r="20" spans="1:10">
      <c r="A20" s="94">
        <v>6.0999999999999999E-2</v>
      </c>
      <c r="B20" s="95">
        <f>(1-(1+A20)^-Assumptions!$C$9)/'Sensitivity Tables'!A20</f>
        <v>8.3380714190731062</v>
      </c>
      <c r="C20" s="96">
        <f>Assumptions!$C$11/(1+'Sensitivity Tables'!A20)^Assumptions!$C$9</f>
        <v>9780577.1660182774</v>
      </c>
      <c r="D20" s="96">
        <f>(Assumptions!$C$7-'Sensitivity Tables'!C20)/'Sensitivity Tables'!B20</f>
        <v>4295888.2256688029</v>
      </c>
      <c r="E20" s="97">
        <f>D20/Assumptions!$C$7</f>
        <v>9.4208075124315852E-2</v>
      </c>
      <c r="F20" s="98">
        <f>NPV(A20,Cashflow!$C$5:$C$16)+NPV(A20,Cashflow!$F$5:$F$16)+Cashflow!$E$16/(1+'Sensitivity Tables'!A20)^12-Assumptions!$C$7</f>
        <v>3424127.0090967268</v>
      </c>
      <c r="G20" s="77"/>
    </row>
    <row r="21" spans="1:10">
      <c r="A21" s="94">
        <v>6.6000000000000003E-2</v>
      </c>
      <c r="B21" s="95">
        <f>(1-(1+A21)^-Assumptions!$C$9)/'Sensitivity Tables'!A21</f>
        <v>8.1148058788304063</v>
      </c>
      <c r="C21" s="96">
        <f>Assumptions!$C$11/(1+'Sensitivity Tables'!A21)^Assumptions!$C$9</f>
        <v>9244057.4191169329</v>
      </c>
      <c r="D21" s="96">
        <f>(Assumptions!$C$7-'Sensitivity Tables'!C21)/'Sensitivity Tables'!B21</f>
        <v>4480198.679271806</v>
      </c>
      <c r="E21" s="97">
        <f>D21/Assumptions!$C$7</f>
        <v>9.8249971036662415E-2</v>
      </c>
      <c r="F21" s="98">
        <f>NPV(A21,Cashflow!$C$5:$C$16)+NPV(A21,Cashflow!$F$5:$F$16)+Cashflow!$E$16/(1+'Sensitivity Tables'!A21)^12-Assumptions!$C$7</f>
        <v>1896222.291469276</v>
      </c>
      <c r="G21" s="77"/>
    </row>
    <row r="22" spans="1:10">
      <c r="A22" s="94">
        <v>7.2499999999999995E-2</v>
      </c>
      <c r="B22" s="95">
        <f>(1-(1+A22)^-Assumptions!$C$9)/'Sensitivity Tables'!A22</f>
        <v>7.8379304382810648</v>
      </c>
      <c r="C22" s="96">
        <f>Assumptions!$C$11/(1+'Sensitivity Tables'!A22)^Assumptions!$C$9</f>
        <v>8593725.5603601821</v>
      </c>
      <c r="D22" s="96">
        <f>(Assumptions!$C$7-'Sensitivity Tables'!C22)/'Sensitivity Tables'!B22</f>
        <v>4721434.4055540841</v>
      </c>
      <c r="E22" s="97">
        <f>D22/Assumptions!$C$7</f>
        <v>0.10354022819197553</v>
      </c>
      <c r="F22" s="98">
        <f>NPV(A22,Cashflow!$C$5:$C$16)+NPV(A22,Cashflow!$F$5:$F$16)+Cashflow!$E$16/(1+'Sensitivity Tables'!A22)^12-Assumptions!$C$7</f>
        <v>14858.138082593679</v>
      </c>
      <c r="G22" s="77"/>
    </row>
    <row r="23" spans="1:10">
      <c r="A23" s="94">
        <v>7.5999999999999998E-2</v>
      </c>
      <c r="B23" s="95">
        <f>(1-(1+A23)^-Assumptions!$C$9)/'Sensitivity Tables'!A23</f>
        <v>7.6947947170984499</v>
      </c>
      <c r="C23" s="96">
        <f>Assumptions!$C$11/(1+'Sensitivity Tables'!A23)^Assumptions!$C$9</f>
        <v>8264219.3305069059</v>
      </c>
      <c r="D23" s="96">
        <f>(Assumptions!$C$7-'Sensitivity Tables'!C23)/'Sensitivity Tables'!B23</f>
        <v>4852082.7445246847</v>
      </c>
      <c r="E23" s="97">
        <f>D23/Assumptions!$C$7</f>
        <v>0.10640532334483958</v>
      </c>
      <c r="F23" s="98">
        <f>NPV(A23,Cashflow!$C$5:$C$16)+NPV(A23,Cashflow!$F$5:$F$16)+Cashflow!$E$16/(1+'Sensitivity Tables'!A23)^12-Assumptions!$C$7</f>
        <v>-951781.94836925715</v>
      </c>
      <c r="G23" s="77"/>
    </row>
    <row r="24" spans="1:10">
      <c r="A24" s="94">
        <v>8.1000000000000003E-2</v>
      </c>
      <c r="B24" s="95">
        <f>(1-(1+A24)^-Assumptions!$C$9)/'Sensitivity Tables'!A24</f>
        <v>7.4971873436984708</v>
      </c>
      <c r="C24" s="96">
        <f>Assumptions!$C$11/(1+'Sensitivity Tables'!A24)^Assumptions!$C$9</f>
        <v>7817011.7231231388</v>
      </c>
      <c r="D24" s="96">
        <f>(Assumptions!$C$7-'Sensitivity Tables'!C24)/'Sensitivity Tables'!B24</f>
        <v>5039621.7334270272</v>
      </c>
      <c r="E24" s="97">
        <f>D24/Assumptions!$C$7</f>
        <v>0.11051802046989095</v>
      </c>
      <c r="F24" s="98">
        <f>NPV(A24,Cashflow!$C$5:$C$16)+NPV(A24,Cashflow!$F$5:$F$16)+Cashflow!$E$16/(1+'Sensitivity Tables'!A24)^12-Assumptions!$C$7</f>
        <v>-2279449.1990861595</v>
      </c>
      <c r="G24" s="77"/>
    </row>
    <row r="27" spans="1:10" ht="18.75">
      <c r="A27" s="3" t="s">
        <v>191</v>
      </c>
      <c r="B27" s="79"/>
      <c r="C27" s="80"/>
    </row>
    <row r="28" spans="1:10">
      <c r="A28" t="s">
        <v>17</v>
      </c>
      <c r="B28" s="61" t="s">
        <v>171</v>
      </c>
      <c r="C28" s="61"/>
      <c r="D28" s="61"/>
      <c r="E28" s="61"/>
      <c r="F28" s="61"/>
    </row>
    <row r="29" spans="1:10">
      <c r="A29" s="99">
        <f>B16</f>
        <v>5.4183700181247074E-2</v>
      </c>
      <c r="B29" s="100">
        <v>3556000.0905433744</v>
      </c>
      <c r="C29" s="100">
        <v>1965138.8023331016</v>
      </c>
      <c r="D29" s="100">
        <v>0</v>
      </c>
      <c r="E29" s="100">
        <v>-998145.61277232319</v>
      </c>
      <c r="F29" s="100">
        <v>-2378527.5130542964</v>
      </c>
    </row>
    <row r="30" spans="1:10">
      <c r="A30" s="101">
        <v>9.4208075124315852E-2</v>
      </c>
      <c r="B30" s="92">
        <f t="dataTable" ref="B30:F34" dt2D="1" dtr="1" r1="B15" r2="B14"/>
        <v>5.4183700181247074E-2</v>
      </c>
      <c r="C30" s="92">
        <v>5.4183700181247074E-2</v>
      </c>
      <c r="D30" s="92">
        <v>5.4183700181247074E-2</v>
      </c>
      <c r="E30" s="92">
        <v>5.4183700181247074E-2</v>
      </c>
      <c r="F30" s="92">
        <v>5.4183700181247074E-2</v>
      </c>
    </row>
    <row r="31" spans="1:10">
      <c r="A31" s="101">
        <v>9.8249971036662415E-2</v>
      </c>
      <c r="B31" s="92">
        <v>5.4183700181247074E-2</v>
      </c>
      <c r="C31" s="92">
        <v>5.4183700181247074E-2</v>
      </c>
      <c r="D31" s="92">
        <v>5.4183700181247074E-2</v>
      </c>
      <c r="E31" s="92">
        <v>5.4183700181247074E-2</v>
      </c>
      <c r="F31" s="92">
        <v>5.4183700181247074E-2</v>
      </c>
    </row>
    <row r="32" spans="1:10">
      <c r="A32" s="101">
        <v>0.10356065250180964</v>
      </c>
      <c r="B32" s="92">
        <v>5.4183700181247074E-2</v>
      </c>
      <c r="C32" s="92">
        <v>5.4183700181247074E-2</v>
      </c>
      <c r="D32" s="92">
        <v>5.4183700181247074E-2</v>
      </c>
      <c r="E32" s="92">
        <v>5.4183700181247074E-2</v>
      </c>
      <c r="F32" s="92">
        <v>5.4183700181247074E-2</v>
      </c>
      <c r="I32" s="3"/>
      <c r="J32" s="7"/>
    </row>
    <row r="33" spans="1:10">
      <c r="A33" s="101">
        <v>0.10640532334483958</v>
      </c>
      <c r="B33" s="92">
        <v>5.4183700181247074E-2</v>
      </c>
      <c r="C33" s="92">
        <v>5.4183700181247074E-2</v>
      </c>
      <c r="D33" s="92">
        <v>5.4183700181247074E-2</v>
      </c>
      <c r="E33" s="92">
        <v>5.4183700181247074E-2</v>
      </c>
      <c r="F33" s="92">
        <v>5.4183700181247074E-2</v>
      </c>
      <c r="I33" s="3"/>
      <c r="J33" s="7"/>
    </row>
    <row r="34" spans="1:10">
      <c r="A34" s="101">
        <v>0.11051802046989095</v>
      </c>
      <c r="B34" s="92">
        <v>5.4183700181247074E-2</v>
      </c>
      <c r="C34" s="92">
        <v>5.4183700181247074E-2</v>
      </c>
      <c r="D34" s="92">
        <v>5.4183700181247074E-2</v>
      </c>
      <c r="E34" s="92">
        <v>5.4183700181247074E-2</v>
      </c>
      <c r="F34" s="92">
        <v>5.4183700181247074E-2</v>
      </c>
      <c r="I34" s="3"/>
      <c r="J34" s="7"/>
    </row>
    <row r="35" spans="1:10">
      <c r="A35" s="72"/>
      <c r="I35" s="3"/>
      <c r="J35" s="7"/>
    </row>
    <row r="36" spans="1:10">
      <c r="I36" s="3"/>
      <c r="J36" s="7"/>
    </row>
    <row r="37" spans="1:10" ht="18.75">
      <c r="A37" s="3" t="s">
        <v>192</v>
      </c>
      <c r="I37" s="3"/>
      <c r="J37" s="16"/>
    </row>
    <row r="38" spans="1:10">
      <c r="A38" t="s">
        <v>169</v>
      </c>
      <c r="B38" s="61" t="s">
        <v>170</v>
      </c>
      <c r="C38" s="61"/>
      <c r="D38" s="61"/>
      <c r="E38" s="61"/>
      <c r="F38" s="61"/>
      <c r="I38" s="3"/>
      <c r="J38" s="16"/>
    </row>
    <row r="39" spans="1:10">
      <c r="A39" s="102">
        <f>B13</f>
        <v>8591322.0852210689</v>
      </c>
      <c r="B39" s="103">
        <v>9.4208075124315852E-2</v>
      </c>
      <c r="C39" s="103">
        <v>9.8249971036662415E-2</v>
      </c>
      <c r="D39" s="103">
        <v>0.10356065250180964</v>
      </c>
      <c r="E39" s="103">
        <v>0.10640532334483958</v>
      </c>
      <c r="F39" s="103">
        <v>0.11051802046989095</v>
      </c>
    </row>
    <row r="40" spans="1:10">
      <c r="A40" s="94">
        <v>6.0999999999999999E-2</v>
      </c>
      <c r="B40" s="104">
        <f t="dataTable" ref="B40:F44" dt2D="1" dtr="1" r1="B14" r2="B12"/>
        <v>9780577.1660182774</v>
      </c>
      <c r="C40" s="104">
        <v>9780577.1660182774</v>
      </c>
      <c r="D40" s="104">
        <v>9780577.1660182774</v>
      </c>
      <c r="E40" s="104">
        <v>9780577.1660182774</v>
      </c>
      <c r="F40" s="104">
        <v>9780577.1660182774</v>
      </c>
    </row>
    <row r="41" spans="1:10">
      <c r="A41" s="94">
        <v>6.6000000000000003E-2</v>
      </c>
      <c r="B41" s="104">
        <v>9244057.4191169329</v>
      </c>
      <c r="C41" s="104">
        <v>9244057.4191169329</v>
      </c>
      <c r="D41" s="104">
        <v>9244057.4191169329</v>
      </c>
      <c r="E41" s="104">
        <v>9244057.4191169329</v>
      </c>
      <c r="F41" s="104">
        <v>9244057.4191169329</v>
      </c>
    </row>
    <row r="42" spans="1:10">
      <c r="A42" s="94">
        <v>7.2529999999999997E-2</v>
      </c>
      <c r="B42" s="104">
        <v>8590841.4775846601</v>
      </c>
      <c r="C42" s="104">
        <v>8590841.4775846601</v>
      </c>
      <c r="D42" s="104">
        <v>8590841.4775846601</v>
      </c>
      <c r="E42" s="104">
        <v>8590841.4775846601</v>
      </c>
      <c r="F42" s="104">
        <v>8590841.4775846601</v>
      </c>
    </row>
    <row r="43" spans="1:10">
      <c r="A43" s="94">
        <v>7.5999999999999998E-2</v>
      </c>
      <c r="B43" s="104">
        <v>8264219.3305069059</v>
      </c>
      <c r="C43" s="104">
        <v>8264219.3305069059</v>
      </c>
      <c r="D43" s="104">
        <v>8264219.3305069059</v>
      </c>
      <c r="E43" s="104">
        <v>8264219.3305069059</v>
      </c>
      <c r="F43" s="104">
        <v>8264219.3305069059</v>
      </c>
    </row>
    <row r="44" spans="1:10">
      <c r="A44" s="94">
        <v>8.1000000000000003E-2</v>
      </c>
      <c r="B44" s="104">
        <v>7817011.7231231388</v>
      </c>
      <c r="C44" s="104">
        <v>7817011.7231231388</v>
      </c>
      <c r="D44" s="104">
        <v>7817011.7231231388</v>
      </c>
      <c r="E44" s="104">
        <v>7817011.7231231388</v>
      </c>
      <c r="F44" s="104">
        <v>7817011.7231231388</v>
      </c>
    </row>
  </sheetData>
  <scenarios current="0">
    <scenario name="WACC Sensitivity" locked="1" count="12" user="Merajul haque" comment="Created by Merajul haque on 19-12-2025">
      <inputCells r="A19" val="WACC"/>
      <inputCells r="D19" val="Annual Rent"/>
      <inputCells r="A20" val="0.061" numFmtId="10"/>
      <inputCells r="D20" val=""/>
      <inputCells r="A21" val="0.066" numFmtId="10"/>
      <inputCells r="D21" val=""/>
      <inputCells r="A22" val="0.071" numFmtId="10"/>
      <inputCells r="D22" val=""/>
      <inputCells r="A23" val="0.076" numFmtId="10"/>
      <inputCells r="D23" val=""/>
      <inputCells r="A24" val="0.081" numFmtId="10"/>
      <inputCells r="D24" val=""/>
    </scenario>
  </scenarios>
  <phoneticPr fontId="17" type="noConversion"/>
  <printOptions horizontalCentered="1"/>
  <pageMargins left="0.70866141732283472" right="0.70866141732283472" top="0.74803149606299213" bottom="0.74803149606299213" header="0.31496062992125984" footer="0.31496062992125984"/>
  <pageSetup scale="6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BA"/>
  </sheetPr>
  <dimension ref="A1:D5"/>
  <sheetViews>
    <sheetView showGridLines="0" workbookViewId="0">
      <pane ySplit="2" topLeftCell="A3" activePane="bottomLeft" state="frozen"/>
      <selection activeCell="C10" sqref="C10"/>
      <selection pane="bottomLeft" activeCell="B5" sqref="B5"/>
    </sheetView>
  </sheetViews>
  <sheetFormatPr defaultColWidth="8.85546875" defaultRowHeight="15"/>
  <cols>
    <col min="1" max="1" width="13.42578125" customWidth="1"/>
    <col min="2" max="2" width="9.140625" customWidth="1"/>
    <col min="3" max="3" width="16.7109375" customWidth="1"/>
    <col min="4" max="4" width="17.85546875" customWidth="1"/>
  </cols>
  <sheetData>
    <row r="1" spans="1:4" ht="18.95" customHeight="1">
      <c r="A1" s="115" t="s">
        <v>69</v>
      </c>
      <c r="B1" s="116"/>
      <c r="C1" s="116"/>
      <c r="D1" s="116"/>
    </row>
    <row r="2" spans="1:4" ht="26.45" customHeight="1">
      <c r="A2" s="12" t="s">
        <v>51</v>
      </c>
      <c r="B2" s="12" t="s">
        <v>70</v>
      </c>
      <c r="C2" s="12" t="s">
        <v>71</v>
      </c>
      <c r="D2" s="12" t="s">
        <v>72</v>
      </c>
    </row>
    <row r="3" spans="1:4">
      <c r="A3" s="5" t="s">
        <v>57</v>
      </c>
      <c r="B3" s="4">
        <v>1</v>
      </c>
      <c r="C3" s="4">
        <v>1</v>
      </c>
      <c r="D3" s="4">
        <v>0</v>
      </c>
    </row>
    <row r="4" spans="1:4">
      <c r="A4" s="5" t="s">
        <v>58</v>
      </c>
      <c r="B4" s="4">
        <v>0.8</v>
      </c>
      <c r="C4" s="4">
        <v>0.8</v>
      </c>
      <c r="D4" s="4">
        <v>0.02</v>
      </c>
    </row>
    <row r="5" spans="1:4">
      <c r="A5" s="5" t="s">
        <v>59</v>
      </c>
      <c r="B5" s="4">
        <v>0.6</v>
      </c>
      <c r="C5" s="4">
        <v>0.7</v>
      </c>
      <c r="D5" s="4">
        <v>0.04</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499984740745262"/>
  </sheetPr>
  <dimension ref="A1:K31"/>
  <sheetViews>
    <sheetView showGridLines="0" zoomScale="90" workbookViewId="0">
      <pane ySplit="1" topLeftCell="A2" activePane="bottomLeft" state="frozen"/>
      <selection activeCell="C10" sqref="C10"/>
      <selection pane="bottomLeft" activeCell="G7" sqref="G7"/>
    </sheetView>
  </sheetViews>
  <sheetFormatPr defaultColWidth="8.85546875" defaultRowHeight="15"/>
  <cols>
    <col min="1" max="1" width="9.7109375" customWidth="1"/>
    <col min="2" max="2" width="21.140625" customWidth="1"/>
    <col min="3" max="3" width="43" customWidth="1"/>
    <col min="4" max="4" width="11.42578125" customWidth="1"/>
    <col min="5" max="5" width="1.85546875" customWidth="1"/>
    <col min="6" max="6" width="2.140625" customWidth="1"/>
    <col min="7" max="7" width="32" customWidth="1"/>
    <col min="8" max="8" width="16.7109375" customWidth="1"/>
    <col min="9" max="11" width="34.28515625" customWidth="1"/>
  </cols>
  <sheetData>
    <row r="1" spans="1:11" ht="27" customHeight="1">
      <c r="A1" s="51" t="s">
        <v>73</v>
      </c>
      <c r="B1" s="51" t="s">
        <v>74</v>
      </c>
      <c r="C1" s="51" t="s">
        <v>75</v>
      </c>
    </row>
    <row r="2" spans="1:11">
      <c r="A2" s="19">
        <v>0</v>
      </c>
      <c r="B2" s="19">
        <v>0</v>
      </c>
      <c r="C2" s="7">
        <f>MAX($H$2*EXP(-$H$3*B2),Assumptions!$C$10*$H$2)</f>
        <v>45600000</v>
      </c>
      <c r="D2" s="7"/>
      <c r="G2" s="54" t="s">
        <v>76</v>
      </c>
      <c r="H2" s="53">
        <f>Assumptions!C3*(1-Assumptions!$C$4)*Assumptions!$C$5</f>
        <v>45600000</v>
      </c>
    </row>
    <row r="3" spans="1:11">
      <c r="A3" s="19">
        <v>1</v>
      </c>
      <c r="B3" s="19">
        <v>1</v>
      </c>
      <c r="C3" s="7">
        <f>MAX($H$2*EXP(-$H$3*B3),Assumptions!$C$10*$H$2)</f>
        <v>38760000</v>
      </c>
      <c r="G3" s="55" t="s">
        <v>77</v>
      </c>
      <c r="H3" s="53">
        <f>-LN(Assumptions!C6)</f>
        <v>0.16251892949777494</v>
      </c>
    </row>
    <row r="4" spans="1:11">
      <c r="A4" s="19">
        <v>2</v>
      </c>
      <c r="B4" s="19">
        <v>2</v>
      </c>
      <c r="C4" s="7">
        <f>MAX($H$2*EXP(-$H$3*B4),Assumptions!$C$10*$H$2)</f>
        <v>32945999.999999996</v>
      </c>
      <c r="G4" s="56" t="s">
        <v>78</v>
      </c>
      <c r="H4" s="53">
        <f>$H$2*Assumptions!$C$6</f>
        <v>38760000</v>
      </c>
      <c r="I4" s="52" t="s">
        <v>79</v>
      </c>
      <c r="J4" s="52" t="s">
        <v>80</v>
      </c>
      <c r="K4" s="52" t="s">
        <v>81</v>
      </c>
    </row>
    <row r="5" spans="1:11">
      <c r="A5" s="19">
        <v>3</v>
      </c>
      <c r="B5" s="19">
        <v>3</v>
      </c>
      <c r="C5" s="7">
        <f>MAX($H$2*EXP(-$H$3*B5),Assumptions!$C$10*$H$2)</f>
        <v>28004099.999999996</v>
      </c>
    </row>
    <row r="6" spans="1:11">
      <c r="A6" s="19">
        <v>4</v>
      </c>
      <c r="B6" s="19">
        <v>4</v>
      </c>
      <c r="C6" s="7">
        <f>MAX($H$2*EXP(-$H$3*B6),Assumptions!$C$10*$H$2)</f>
        <v>23803484.999999996</v>
      </c>
    </row>
    <row r="7" spans="1:11">
      <c r="A7" s="19">
        <v>5</v>
      </c>
      <c r="B7" s="19">
        <v>5</v>
      </c>
      <c r="C7" s="7">
        <f>MAX($H$2*EXP(-$H$3*B7),Assumptions!$C$10*$H$2)</f>
        <v>20520000</v>
      </c>
    </row>
    <row r="8" spans="1:11">
      <c r="A8" s="19">
        <v>6</v>
      </c>
      <c r="B8" s="19">
        <v>6</v>
      </c>
      <c r="C8" s="7">
        <f>MAX($H$2*EXP(-$H$3*B8),Assumptions!$C$10*$H$2)</f>
        <v>20520000</v>
      </c>
    </row>
    <row r="9" spans="1:11">
      <c r="A9" s="19">
        <v>7</v>
      </c>
      <c r="B9" s="19">
        <v>7</v>
      </c>
      <c r="C9" s="7">
        <f>MAX($H$2*EXP(-$H$3*B9),Assumptions!$C$10*$H$2)</f>
        <v>20520000</v>
      </c>
    </row>
    <row r="10" spans="1:11">
      <c r="A10" s="19">
        <v>8</v>
      </c>
      <c r="B10" s="19">
        <v>8</v>
      </c>
      <c r="C10" s="7">
        <f>MAX($H$2*EXP(-$H$3*B10),Assumptions!$C$10*$H$2)</f>
        <v>20520000</v>
      </c>
      <c r="G10" s="7">
        <f>C14-C2</f>
        <v>-25080000</v>
      </c>
    </row>
    <row r="11" spans="1:11">
      <c r="A11" s="19">
        <v>9</v>
      </c>
      <c r="B11" s="19">
        <v>9</v>
      </c>
      <c r="C11" s="7">
        <f>MAX($H$2*EXP(-$H$3*B11),Assumptions!$C$10*$H$2)</f>
        <v>20520000</v>
      </c>
      <c r="G11">
        <f>G10/12</f>
        <v>-2090000</v>
      </c>
    </row>
    <row r="12" spans="1:11">
      <c r="A12" s="19">
        <v>10</v>
      </c>
      <c r="B12" s="19">
        <v>10</v>
      </c>
      <c r="C12" s="7">
        <f>MAX($H$2*EXP(-$H$3*B12),Assumptions!$C$10*$H$2)</f>
        <v>20520000</v>
      </c>
    </row>
    <row r="13" spans="1:11">
      <c r="A13" s="19">
        <v>11</v>
      </c>
      <c r="B13" s="19">
        <v>11</v>
      </c>
      <c r="C13" s="7">
        <f>MAX($H$2*EXP(-$H$3*B13),Assumptions!$C$10*$H$2)</f>
        <v>20520000</v>
      </c>
    </row>
    <row r="14" spans="1:11">
      <c r="A14" s="19">
        <v>12</v>
      </c>
      <c r="B14" s="19">
        <v>12</v>
      </c>
      <c r="C14" s="7">
        <f>MAX($H$2*EXP(-$H$3*B14),Assumptions!$C$10*$H$2)</f>
        <v>20520000</v>
      </c>
    </row>
    <row r="15" spans="1:11">
      <c r="A15" s="19">
        <v>13</v>
      </c>
      <c r="B15" s="19">
        <v>13</v>
      </c>
      <c r="C15" s="7">
        <f>MAX($H$2*EXP(-$H$3*B15),Assumptions!$C$10*$H$2)</f>
        <v>20520000</v>
      </c>
    </row>
    <row r="16" spans="1:11">
      <c r="A16" s="19">
        <v>14</v>
      </c>
      <c r="B16" s="19">
        <v>14</v>
      </c>
      <c r="C16" s="7">
        <f>MAX($H$2*EXP(-$H$3*B16),Assumptions!$C$10*$H$2)</f>
        <v>20520000</v>
      </c>
    </row>
    <row r="17" spans="1:7">
      <c r="A17" s="19">
        <v>15</v>
      </c>
      <c r="B17" s="19">
        <v>15</v>
      </c>
      <c r="C17" s="7">
        <f>MAX($H$2*EXP(-$H$3*B17),Assumptions!$C$10*$H$2)</f>
        <v>20520000</v>
      </c>
    </row>
    <row r="18" spans="1:7">
      <c r="A18" s="19">
        <v>16</v>
      </c>
      <c r="B18" s="19">
        <v>16</v>
      </c>
      <c r="C18" s="7">
        <f>MAX($H$2*EXP(-$H$3*B18),Assumptions!$C$10*$H$2)</f>
        <v>20520000</v>
      </c>
    </row>
    <row r="19" spans="1:7">
      <c r="A19" s="19">
        <v>17</v>
      </c>
      <c r="B19" s="19">
        <v>17</v>
      </c>
      <c r="C19" s="7">
        <f>MAX($H$2*EXP(-$H$3*B19),Assumptions!$C$10*$H$2)</f>
        <v>20520000</v>
      </c>
    </row>
    <row r="20" spans="1:7">
      <c r="A20" s="19">
        <v>18</v>
      </c>
      <c r="B20" s="19">
        <v>18</v>
      </c>
      <c r="C20" s="7">
        <f>MAX($H$2*EXP(-$H$3*B20),Assumptions!$C$10*$H$2)</f>
        <v>20520000</v>
      </c>
    </row>
    <row r="21" spans="1:7">
      <c r="A21" s="19">
        <v>19</v>
      </c>
      <c r="B21" s="19">
        <v>19</v>
      </c>
      <c r="C21" s="7">
        <f>MAX($H$2*EXP(-$H$3*B21),Assumptions!$C$10*$H$2)</f>
        <v>20520000</v>
      </c>
    </row>
    <row r="22" spans="1:7">
      <c r="A22" s="19">
        <v>20</v>
      </c>
      <c r="B22" s="19">
        <v>20</v>
      </c>
      <c r="C22" s="7">
        <f>MAX($H$2*EXP(-$H$3*B22),Assumptions!$C$10*$H$2)</f>
        <v>20520000</v>
      </c>
    </row>
    <row r="23" spans="1:7">
      <c r="A23" s="19">
        <v>21</v>
      </c>
      <c r="B23" s="19">
        <v>21</v>
      </c>
      <c r="C23" s="7">
        <f>MAX($H$2*EXP(-$H$3*B23),Assumptions!$C$10*$H$2)</f>
        <v>20520000</v>
      </c>
    </row>
    <row r="24" spans="1:7">
      <c r="A24" s="19">
        <v>22</v>
      </c>
      <c r="B24" s="19">
        <v>22</v>
      </c>
      <c r="C24" s="7">
        <f>MAX($H$2*EXP(-$H$3*B24),Assumptions!$C$10*$H$2)</f>
        <v>20520000</v>
      </c>
    </row>
    <row r="25" spans="1:7">
      <c r="A25" s="19">
        <v>23</v>
      </c>
      <c r="B25" s="19">
        <v>23</v>
      </c>
      <c r="C25" s="7">
        <f>MAX($H$2*EXP(-$H$3*B25),Assumptions!$C$10*$H$2)</f>
        <v>20520000</v>
      </c>
    </row>
    <row r="26" spans="1:7">
      <c r="A26" s="19">
        <v>24</v>
      </c>
      <c r="B26" s="19">
        <v>24</v>
      </c>
      <c r="C26" s="7">
        <f>MAX($H$2*EXP(-$H$3*B26),Assumptions!$C$10*$H$2)</f>
        <v>20520000</v>
      </c>
    </row>
    <row r="27" spans="1:7">
      <c r="A27" s="19">
        <v>25</v>
      </c>
      <c r="B27" s="19">
        <v>25</v>
      </c>
      <c r="C27" s="7">
        <f>MAX($H$2*EXP(-$H$3*B27),Assumptions!$C$10*$H$2)</f>
        <v>20520000</v>
      </c>
    </row>
    <row r="31" spans="1:7">
      <c r="A31" s="2" t="s">
        <v>60</v>
      </c>
      <c r="B31" s="117" t="s">
        <v>82</v>
      </c>
      <c r="C31" s="111"/>
      <c r="D31" s="111"/>
      <c r="E31" s="111"/>
      <c r="F31" s="111"/>
      <c r="G31" s="111"/>
    </row>
  </sheetData>
  <mergeCells count="1">
    <mergeCell ref="B31:G3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1:F80"/>
  <sheetViews>
    <sheetView showGridLines="0" workbookViewId="0">
      <pane ySplit="2" topLeftCell="A3" activePane="bottomLeft" state="frozen"/>
      <selection activeCell="C10" sqref="C10"/>
      <selection pane="bottomLeft" activeCell="C6" sqref="C6"/>
    </sheetView>
  </sheetViews>
  <sheetFormatPr defaultColWidth="8.85546875" defaultRowHeight="15"/>
  <cols>
    <col min="1" max="1" width="11.42578125" customWidth="1"/>
    <col min="2" max="2" width="19.85546875" customWidth="1"/>
    <col min="3" max="3" width="24.28515625" customWidth="1"/>
    <col min="4" max="4" width="21.28515625" customWidth="1"/>
    <col min="5" max="5" width="25.85546875" bestFit="1" customWidth="1"/>
    <col min="6" max="6" width="19.140625" customWidth="1"/>
  </cols>
  <sheetData>
    <row r="1" spans="1:6" ht="18.95" customHeight="1">
      <c r="A1" s="118" t="s">
        <v>83</v>
      </c>
      <c r="B1" s="111"/>
      <c r="C1" s="111"/>
      <c r="D1" s="111"/>
      <c r="E1" s="111"/>
      <c r="F1" s="111"/>
    </row>
    <row r="2" spans="1:6" ht="22.35" customHeight="1">
      <c r="A2" s="44" t="s">
        <v>73</v>
      </c>
      <c r="B2" s="44" t="s">
        <v>51</v>
      </c>
      <c r="C2" s="44" t="s">
        <v>84</v>
      </c>
      <c r="D2" s="44" t="s">
        <v>70</v>
      </c>
      <c r="E2" s="44" t="s">
        <v>85</v>
      </c>
      <c r="F2" s="44" t="s">
        <v>140</v>
      </c>
    </row>
    <row r="3" spans="1:6">
      <c r="A3" s="57">
        <v>0</v>
      </c>
      <c r="B3" s="59" t="str">
        <f>Scenarios!A3</f>
        <v>Base</v>
      </c>
      <c r="C3" s="60">
        <f>Base_Value!C2</f>
        <v>45600000</v>
      </c>
      <c r="D3" s="59">
        <f>Scenarios!B3</f>
        <v>1</v>
      </c>
      <c r="E3" s="60">
        <f t="shared" ref="E3:E34" si="0">C3*D3</f>
        <v>45600000</v>
      </c>
      <c r="F3" s="59">
        <f>E3*(1-Assumptions!$C$28)</f>
        <v>44232000</v>
      </c>
    </row>
    <row r="4" spans="1:6">
      <c r="A4" s="57">
        <v>0</v>
      </c>
      <c r="B4" s="59" t="str">
        <f>Scenarios!A4</f>
        <v>Downside</v>
      </c>
      <c r="C4" s="60">
        <f>Base_Value!C2</f>
        <v>45600000</v>
      </c>
      <c r="D4" s="59">
        <f>Scenarios!B4</f>
        <v>0.8</v>
      </c>
      <c r="E4" s="60">
        <f t="shared" si="0"/>
        <v>36480000</v>
      </c>
      <c r="F4" s="59">
        <f>E4*(1-Assumptions!$C$28)</f>
        <v>35385600</v>
      </c>
    </row>
    <row r="5" spans="1:6">
      <c r="A5" s="57">
        <v>0</v>
      </c>
      <c r="B5" s="59" t="str">
        <f>Scenarios!A5</f>
        <v>Stress</v>
      </c>
      <c r="C5" s="60">
        <f>Base_Value!C2</f>
        <v>45600000</v>
      </c>
      <c r="D5" s="59">
        <f>Scenarios!B5</f>
        <v>0.6</v>
      </c>
      <c r="E5" s="60">
        <f t="shared" si="0"/>
        <v>27360000</v>
      </c>
      <c r="F5" s="59">
        <f>E5*(1-Assumptions!$C$28)</f>
        <v>26539200</v>
      </c>
    </row>
    <row r="6" spans="1:6">
      <c r="A6">
        <f t="shared" ref="A6:A37" si="1">A3+1</f>
        <v>1</v>
      </c>
      <c r="B6" s="61" t="str">
        <f>Scenarios!A3</f>
        <v>Base</v>
      </c>
      <c r="C6" s="62">
        <f>Base_Value!C3</f>
        <v>38760000</v>
      </c>
      <c r="D6" s="61">
        <f>Scenarios!B3</f>
        <v>1</v>
      </c>
      <c r="E6" s="62">
        <f t="shared" si="0"/>
        <v>38760000</v>
      </c>
      <c r="F6" s="61">
        <f>E6*(1-Assumptions!$C$28)</f>
        <v>37597200</v>
      </c>
    </row>
    <row r="7" spans="1:6">
      <c r="A7">
        <f t="shared" si="1"/>
        <v>1</v>
      </c>
      <c r="B7" s="61" t="str">
        <f>Scenarios!A4</f>
        <v>Downside</v>
      </c>
      <c r="C7" s="62">
        <f>Base_Value!C3</f>
        <v>38760000</v>
      </c>
      <c r="D7" s="61">
        <f>Scenarios!B4</f>
        <v>0.8</v>
      </c>
      <c r="E7" s="62">
        <f t="shared" si="0"/>
        <v>31008000</v>
      </c>
      <c r="F7" s="61">
        <f>E7*(1-Assumptions!$C$28)</f>
        <v>30077760</v>
      </c>
    </row>
    <row r="8" spans="1:6">
      <c r="A8">
        <f t="shared" si="1"/>
        <v>1</v>
      </c>
      <c r="B8" s="61" t="str">
        <f>Scenarios!A5</f>
        <v>Stress</v>
      </c>
      <c r="C8" s="62">
        <f>Base_Value!C3</f>
        <v>38760000</v>
      </c>
      <c r="D8" s="61">
        <f>Scenarios!B5</f>
        <v>0.6</v>
      </c>
      <c r="E8" s="62">
        <f t="shared" si="0"/>
        <v>23256000</v>
      </c>
      <c r="F8" s="61">
        <f>E8*(1-Assumptions!$C$28)</f>
        <v>22558320</v>
      </c>
    </row>
    <row r="9" spans="1:6">
      <c r="A9" s="57">
        <f t="shared" si="1"/>
        <v>2</v>
      </c>
      <c r="B9" s="59" t="str">
        <f>Scenarios!A3</f>
        <v>Base</v>
      </c>
      <c r="C9" s="60">
        <f>Base_Value!C4</f>
        <v>32945999.999999996</v>
      </c>
      <c r="D9" s="59">
        <f>Scenarios!B3</f>
        <v>1</v>
      </c>
      <c r="E9" s="60">
        <f t="shared" si="0"/>
        <v>32945999.999999996</v>
      </c>
      <c r="F9" s="59">
        <f>E9*(1-Assumptions!$C$28)</f>
        <v>31957619.999999996</v>
      </c>
    </row>
    <row r="10" spans="1:6">
      <c r="A10" s="57">
        <f t="shared" si="1"/>
        <v>2</v>
      </c>
      <c r="B10" s="59" t="str">
        <f>Scenarios!A4</f>
        <v>Downside</v>
      </c>
      <c r="C10" s="60">
        <f>Base_Value!C4</f>
        <v>32945999.999999996</v>
      </c>
      <c r="D10" s="59">
        <f>Scenarios!B4</f>
        <v>0.8</v>
      </c>
      <c r="E10" s="60">
        <f t="shared" si="0"/>
        <v>26356800</v>
      </c>
      <c r="F10" s="59">
        <f>E10*(1-Assumptions!$C$28)</f>
        <v>25566096</v>
      </c>
    </row>
    <row r="11" spans="1:6">
      <c r="A11" s="57">
        <f t="shared" si="1"/>
        <v>2</v>
      </c>
      <c r="B11" s="59" t="str">
        <f>Scenarios!A5</f>
        <v>Stress</v>
      </c>
      <c r="C11" s="60">
        <f>Base_Value!C4</f>
        <v>32945999.999999996</v>
      </c>
      <c r="D11" s="59">
        <f>Scenarios!B5</f>
        <v>0.6</v>
      </c>
      <c r="E11" s="60">
        <f t="shared" si="0"/>
        <v>19767599.999999996</v>
      </c>
      <c r="F11" s="59">
        <f>E11*(1-Assumptions!$C$28)</f>
        <v>19174571.999999996</v>
      </c>
    </row>
    <row r="12" spans="1:6">
      <c r="A12">
        <f t="shared" si="1"/>
        <v>3</v>
      </c>
      <c r="B12" s="61" t="str">
        <f>Scenarios!A3</f>
        <v>Base</v>
      </c>
      <c r="C12" s="62">
        <f>Base_Value!C5</f>
        <v>28004099.999999996</v>
      </c>
      <c r="D12" s="61">
        <f>Scenarios!B3</f>
        <v>1</v>
      </c>
      <c r="E12" s="62">
        <f t="shared" si="0"/>
        <v>28004099.999999996</v>
      </c>
      <c r="F12" s="61">
        <f>E12*(1-Assumptions!$C$28)</f>
        <v>27163976.999999996</v>
      </c>
    </row>
    <row r="13" spans="1:6">
      <c r="A13">
        <f t="shared" si="1"/>
        <v>3</v>
      </c>
      <c r="B13" s="61" t="str">
        <f>Scenarios!A4</f>
        <v>Downside</v>
      </c>
      <c r="C13" s="62">
        <f>Base_Value!C5</f>
        <v>28004099.999999996</v>
      </c>
      <c r="D13" s="61">
        <f>Scenarios!B4</f>
        <v>0.8</v>
      </c>
      <c r="E13" s="62">
        <f t="shared" si="0"/>
        <v>22403280</v>
      </c>
      <c r="F13" s="61">
        <f>E13*(1-Assumptions!$C$28)</f>
        <v>21731181.599999998</v>
      </c>
    </row>
    <row r="14" spans="1:6">
      <c r="A14">
        <f t="shared" si="1"/>
        <v>3</v>
      </c>
      <c r="B14" s="61" t="str">
        <f>Scenarios!A5</f>
        <v>Stress</v>
      </c>
      <c r="C14" s="62">
        <f>Base_Value!C5</f>
        <v>28004099.999999996</v>
      </c>
      <c r="D14" s="61">
        <f>Scenarios!B5</f>
        <v>0.6</v>
      </c>
      <c r="E14" s="62">
        <f t="shared" si="0"/>
        <v>16802459.999999996</v>
      </c>
      <c r="F14" s="61">
        <f>E14*(1-Assumptions!$C$28)</f>
        <v>16298386.199999996</v>
      </c>
    </row>
    <row r="15" spans="1:6">
      <c r="A15" s="57">
        <f t="shared" si="1"/>
        <v>4</v>
      </c>
      <c r="B15" s="59" t="str">
        <f>Scenarios!A3</f>
        <v>Base</v>
      </c>
      <c r="C15" s="60">
        <f>Base_Value!C6</f>
        <v>23803484.999999996</v>
      </c>
      <c r="D15" s="59">
        <f>Scenarios!B3</f>
        <v>1</v>
      </c>
      <c r="E15" s="60">
        <f t="shared" si="0"/>
        <v>23803484.999999996</v>
      </c>
      <c r="F15" s="59">
        <f>E15*(1-Assumptions!$C$28)</f>
        <v>23089380.449999996</v>
      </c>
    </row>
    <row r="16" spans="1:6">
      <c r="A16" s="57">
        <f t="shared" si="1"/>
        <v>4</v>
      </c>
      <c r="B16" s="59" t="str">
        <f>Scenarios!A4</f>
        <v>Downside</v>
      </c>
      <c r="C16" s="60">
        <f>Base_Value!C6</f>
        <v>23803484.999999996</v>
      </c>
      <c r="D16" s="59">
        <f>Scenarios!B4</f>
        <v>0.8</v>
      </c>
      <c r="E16" s="60">
        <f t="shared" si="0"/>
        <v>19042787.999999996</v>
      </c>
      <c r="F16" s="59">
        <f>E16*(1-Assumptions!$C$28)</f>
        <v>18471504.359999996</v>
      </c>
    </row>
    <row r="17" spans="1:6">
      <c r="A17" s="57">
        <f t="shared" si="1"/>
        <v>4</v>
      </c>
      <c r="B17" s="59" t="str">
        <f>Scenarios!A5</f>
        <v>Stress</v>
      </c>
      <c r="C17" s="60">
        <f>Base_Value!C6</f>
        <v>23803484.999999996</v>
      </c>
      <c r="D17" s="59">
        <f>Scenarios!B5</f>
        <v>0.6</v>
      </c>
      <c r="E17" s="60">
        <f t="shared" si="0"/>
        <v>14282090.999999998</v>
      </c>
      <c r="F17" s="59">
        <f>E17*(1-Assumptions!$C$28)</f>
        <v>13853628.269999998</v>
      </c>
    </row>
    <row r="18" spans="1:6">
      <c r="A18">
        <f t="shared" si="1"/>
        <v>5</v>
      </c>
      <c r="B18" s="61" t="str">
        <f>Scenarios!A3</f>
        <v>Base</v>
      </c>
      <c r="C18" s="62">
        <f>Base_Value!C7</f>
        <v>20520000</v>
      </c>
      <c r="D18" s="61">
        <f>Scenarios!B3</f>
        <v>1</v>
      </c>
      <c r="E18" s="62">
        <f t="shared" si="0"/>
        <v>20520000</v>
      </c>
      <c r="F18" s="61">
        <f>E18*(1-Assumptions!$C$28)</f>
        <v>19904400</v>
      </c>
    </row>
    <row r="19" spans="1:6">
      <c r="A19">
        <f t="shared" si="1"/>
        <v>5</v>
      </c>
      <c r="B19" s="61" t="str">
        <f>Scenarios!A4</f>
        <v>Downside</v>
      </c>
      <c r="C19" s="62">
        <f>Base_Value!C7</f>
        <v>20520000</v>
      </c>
      <c r="D19" s="61">
        <f>Scenarios!B4</f>
        <v>0.8</v>
      </c>
      <c r="E19" s="62">
        <f t="shared" si="0"/>
        <v>16416000</v>
      </c>
      <c r="F19" s="61">
        <f>E19*(1-Assumptions!$C$28)</f>
        <v>15923520</v>
      </c>
    </row>
    <row r="20" spans="1:6">
      <c r="A20">
        <f t="shared" si="1"/>
        <v>5</v>
      </c>
      <c r="B20" s="61" t="str">
        <f>Scenarios!A5</f>
        <v>Stress</v>
      </c>
      <c r="C20" s="62">
        <f>Base_Value!C7</f>
        <v>20520000</v>
      </c>
      <c r="D20" s="61">
        <f>Scenarios!B5</f>
        <v>0.6</v>
      </c>
      <c r="E20" s="62">
        <f t="shared" si="0"/>
        <v>12312000</v>
      </c>
      <c r="F20" s="61">
        <f>E20*(1-Assumptions!$C$28)</f>
        <v>11942640</v>
      </c>
    </row>
    <row r="21" spans="1:6">
      <c r="A21" s="57">
        <f t="shared" si="1"/>
        <v>6</v>
      </c>
      <c r="B21" s="59" t="str">
        <f>Scenarios!A3</f>
        <v>Base</v>
      </c>
      <c r="C21" s="60">
        <f>Base_Value!C8</f>
        <v>20520000</v>
      </c>
      <c r="D21" s="59">
        <f>Scenarios!B3</f>
        <v>1</v>
      </c>
      <c r="E21" s="60">
        <f t="shared" si="0"/>
        <v>20520000</v>
      </c>
      <c r="F21" s="59">
        <f>E21*(1-Assumptions!$C$28)</f>
        <v>19904400</v>
      </c>
    </row>
    <row r="22" spans="1:6">
      <c r="A22" s="57">
        <f t="shared" si="1"/>
        <v>6</v>
      </c>
      <c r="B22" s="59" t="str">
        <f>Scenarios!A4</f>
        <v>Downside</v>
      </c>
      <c r="C22" s="60">
        <f>Base_Value!C8</f>
        <v>20520000</v>
      </c>
      <c r="D22" s="59">
        <f>Scenarios!B4</f>
        <v>0.8</v>
      </c>
      <c r="E22" s="60">
        <f t="shared" si="0"/>
        <v>16416000</v>
      </c>
      <c r="F22" s="59">
        <f>E22*(1-Assumptions!$C$28)</f>
        <v>15923520</v>
      </c>
    </row>
    <row r="23" spans="1:6">
      <c r="A23" s="57">
        <f t="shared" si="1"/>
        <v>6</v>
      </c>
      <c r="B23" s="59" t="str">
        <f>Scenarios!A5</f>
        <v>Stress</v>
      </c>
      <c r="C23" s="60">
        <f>Base_Value!C8</f>
        <v>20520000</v>
      </c>
      <c r="D23" s="59">
        <f>Scenarios!B5</f>
        <v>0.6</v>
      </c>
      <c r="E23" s="60">
        <f t="shared" si="0"/>
        <v>12312000</v>
      </c>
      <c r="F23" s="59">
        <f>E23*(1-Assumptions!$C$28)</f>
        <v>11942640</v>
      </c>
    </row>
    <row r="24" spans="1:6">
      <c r="A24">
        <f t="shared" si="1"/>
        <v>7</v>
      </c>
      <c r="B24" s="61" t="str">
        <f>Scenarios!A3</f>
        <v>Base</v>
      </c>
      <c r="C24" s="62">
        <f>Base_Value!C9</f>
        <v>20520000</v>
      </c>
      <c r="D24" s="61">
        <f>Scenarios!B3</f>
        <v>1</v>
      </c>
      <c r="E24" s="62">
        <f t="shared" si="0"/>
        <v>20520000</v>
      </c>
      <c r="F24" s="61">
        <f>E24*(1-Assumptions!$C$28)</f>
        <v>19904400</v>
      </c>
    </row>
    <row r="25" spans="1:6">
      <c r="A25">
        <f t="shared" si="1"/>
        <v>7</v>
      </c>
      <c r="B25" s="61" t="str">
        <f>Scenarios!A4</f>
        <v>Downside</v>
      </c>
      <c r="C25" s="62">
        <f>Base_Value!C9</f>
        <v>20520000</v>
      </c>
      <c r="D25" s="61">
        <f>Scenarios!B4</f>
        <v>0.8</v>
      </c>
      <c r="E25" s="62">
        <f t="shared" si="0"/>
        <v>16416000</v>
      </c>
      <c r="F25" s="61">
        <f>E25*(1-Assumptions!$C$28)</f>
        <v>15923520</v>
      </c>
    </row>
    <row r="26" spans="1:6">
      <c r="A26">
        <f t="shared" si="1"/>
        <v>7</v>
      </c>
      <c r="B26" s="61" t="str">
        <f>Scenarios!A5</f>
        <v>Stress</v>
      </c>
      <c r="C26" s="62">
        <f>Base_Value!C9</f>
        <v>20520000</v>
      </c>
      <c r="D26" s="61">
        <f>Scenarios!B5</f>
        <v>0.6</v>
      </c>
      <c r="E26" s="62">
        <f t="shared" si="0"/>
        <v>12312000</v>
      </c>
      <c r="F26" s="61">
        <f>E26*(1-Assumptions!$C$28)</f>
        <v>11942640</v>
      </c>
    </row>
    <row r="27" spans="1:6">
      <c r="A27" s="57">
        <f t="shared" si="1"/>
        <v>8</v>
      </c>
      <c r="B27" s="59" t="str">
        <f>Scenarios!A3</f>
        <v>Base</v>
      </c>
      <c r="C27" s="60">
        <f>Base_Value!C10</f>
        <v>20520000</v>
      </c>
      <c r="D27" s="59">
        <f>Scenarios!B3</f>
        <v>1</v>
      </c>
      <c r="E27" s="60">
        <f t="shared" si="0"/>
        <v>20520000</v>
      </c>
      <c r="F27" s="59">
        <f>E27*(1-Assumptions!$C$28)</f>
        <v>19904400</v>
      </c>
    </row>
    <row r="28" spans="1:6">
      <c r="A28" s="57">
        <f t="shared" si="1"/>
        <v>8</v>
      </c>
      <c r="B28" s="59" t="str">
        <f>Scenarios!A4</f>
        <v>Downside</v>
      </c>
      <c r="C28" s="60">
        <f>Base_Value!C10</f>
        <v>20520000</v>
      </c>
      <c r="D28" s="59">
        <f>Scenarios!B4</f>
        <v>0.8</v>
      </c>
      <c r="E28" s="60">
        <f t="shared" si="0"/>
        <v>16416000</v>
      </c>
      <c r="F28" s="59">
        <f>E28*(1-Assumptions!$C$28)</f>
        <v>15923520</v>
      </c>
    </row>
    <row r="29" spans="1:6">
      <c r="A29" s="57">
        <f t="shared" si="1"/>
        <v>8</v>
      </c>
      <c r="B29" s="59" t="str">
        <f>Scenarios!A5</f>
        <v>Stress</v>
      </c>
      <c r="C29" s="60">
        <f>Base_Value!C10</f>
        <v>20520000</v>
      </c>
      <c r="D29" s="59">
        <f>Scenarios!B5</f>
        <v>0.6</v>
      </c>
      <c r="E29" s="60">
        <f t="shared" si="0"/>
        <v>12312000</v>
      </c>
      <c r="F29" s="59">
        <f>E29*(1-Assumptions!$C$28)</f>
        <v>11942640</v>
      </c>
    </row>
    <row r="30" spans="1:6">
      <c r="A30">
        <f t="shared" si="1"/>
        <v>9</v>
      </c>
      <c r="B30" s="61" t="str">
        <f>Scenarios!A3</f>
        <v>Base</v>
      </c>
      <c r="C30" s="62">
        <f>Base_Value!C11</f>
        <v>20520000</v>
      </c>
      <c r="D30" s="61">
        <f>Scenarios!B3</f>
        <v>1</v>
      </c>
      <c r="E30" s="62">
        <f t="shared" si="0"/>
        <v>20520000</v>
      </c>
      <c r="F30" s="61">
        <f>E30*(1-Assumptions!$C$28)</f>
        <v>19904400</v>
      </c>
    </row>
    <row r="31" spans="1:6">
      <c r="A31">
        <f t="shared" si="1"/>
        <v>9</v>
      </c>
      <c r="B31" s="61" t="str">
        <f>Scenarios!A4</f>
        <v>Downside</v>
      </c>
      <c r="C31" s="62">
        <f>Base_Value!C11</f>
        <v>20520000</v>
      </c>
      <c r="D31" s="61">
        <f>Scenarios!B4</f>
        <v>0.8</v>
      </c>
      <c r="E31" s="62">
        <f t="shared" si="0"/>
        <v>16416000</v>
      </c>
      <c r="F31" s="61">
        <f>E31*(1-Assumptions!$C$28)</f>
        <v>15923520</v>
      </c>
    </row>
    <row r="32" spans="1:6">
      <c r="A32">
        <f t="shared" si="1"/>
        <v>9</v>
      </c>
      <c r="B32" s="61" t="str">
        <f>Scenarios!A5</f>
        <v>Stress</v>
      </c>
      <c r="C32" s="62">
        <f>Base_Value!C11</f>
        <v>20520000</v>
      </c>
      <c r="D32" s="61">
        <f>Scenarios!B5</f>
        <v>0.6</v>
      </c>
      <c r="E32" s="62">
        <f t="shared" si="0"/>
        <v>12312000</v>
      </c>
      <c r="F32" s="61">
        <f>E32*(1-Assumptions!$C$28)</f>
        <v>11942640</v>
      </c>
    </row>
    <row r="33" spans="1:6">
      <c r="A33" s="57">
        <f t="shared" si="1"/>
        <v>10</v>
      </c>
      <c r="B33" s="59" t="str">
        <f>Scenarios!A3</f>
        <v>Base</v>
      </c>
      <c r="C33" s="60">
        <f>Base_Value!C12</f>
        <v>20520000</v>
      </c>
      <c r="D33" s="59">
        <f>Scenarios!B3</f>
        <v>1</v>
      </c>
      <c r="E33" s="60">
        <f t="shared" si="0"/>
        <v>20520000</v>
      </c>
      <c r="F33" s="59">
        <f>E33*(1-Assumptions!$C$28)</f>
        <v>19904400</v>
      </c>
    </row>
    <row r="34" spans="1:6">
      <c r="A34" s="57">
        <f t="shared" si="1"/>
        <v>10</v>
      </c>
      <c r="B34" s="59" t="str">
        <f>Scenarios!A4</f>
        <v>Downside</v>
      </c>
      <c r="C34" s="60">
        <f>Base_Value!C12</f>
        <v>20520000</v>
      </c>
      <c r="D34" s="59">
        <f>Scenarios!B4</f>
        <v>0.8</v>
      </c>
      <c r="E34" s="60">
        <f t="shared" si="0"/>
        <v>16416000</v>
      </c>
      <c r="F34" s="59">
        <f>E34*(1-Assumptions!$C$28)</f>
        <v>15923520</v>
      </c>
    </row>
    <row r="35" spans="1:6">
      <c r="A35" s="57">
        <f t="shared" si="1"/>
        <v>10</v>
      </c>
      <c r="B35" s="59" t="str">
        <f>Scenarios!A5</f>
        <v>Stress</v>
      </c>
      <c r="C35" s="60">
        <f>Base_Value!C12</f>
        <v>20520000</v>
      </c>
      <c r="D35" s="59">
        <f>Scenarios!B5</f>
        <v>0.6</v>
      </c>
      <c r="E35" s="60">
        <f t="shared" ref="E35:E66" si="2">C35*D35</f>
        <v>12312000</v>
      </c>
      <c r="F35" s="59">
        <f>E35*(1-Assumptions!$C$28)</f>
        <v>11942640</v>
      </c>
    </row>
    <row r="36" spans="1:6">
      <c r="A36">
        <f t="shared" si="1"/>
        <v>11</v>
      </c>
      <c r="B36" s="61" t="str">
        <f>Scenarios!A3</f>
        <v>Base</v>
      </c>
      <c r="C36" s="62">
        <f>Base_Value!C13</f>
        <v>20520000</v>
      </c>
      <c r="D36" s="61">
        <f>Scenarios!B3</f>
        <v>1</v>
      </c>
      <c r="E36" s="62">
        <f t="shared" si="2"/>
        <v>20520000</v>
      </c>
      <c r="F36" s="61">
        <f>E36*(1-Assumptions!$C$28)</f>
        <v>19904400</v>
      </c>
    </row>
    <row r="37" spans="1:6">
      <c r="A37">
        <f t="shared" si="1"/>
        <v>11</v>
      </c>
      <c r="B37" s="61" t="str">
        <f>Scenarios!A4</f>
        <v>Downside</v>
      </c>
      <c r="C37" s="62">
        <f>Base_Value!C13</f>
        <v>20520000</v>
      </c>
      <c r="D37" s="61">
        <f>Scenarios!B4</f>
        <v>0.8</v>
      </c>
      <c r="E37" s="62">
        <f t="shared" si="2"/>
        <v>16416000</v>
      </c>
      <c r="F37" s="61">
        <f>E37*(1-Assumptions!$C$28)</f>
        <v>15923520</v>
      </c>
    </row>
    <row r="38" spans="1:6">
      <c r="A38">
        <f t="shared" ref="A38:A69" si="3">A35+1</f>
        <v>11</v>
      </c>
      <c r="B38" s="61" t="str">
        <f>Scenarios!A5</f>
        <v>Stress</v>
      </c>
      <c r="C38" s="62">
        <f>Base_Value!C13</f>
        <v>20520000</v>
      </c>
      <c r="D38" s="61">
        <f>Scenarios!B5</f>
        <v>0.6</v>
      </c>
      <c r="E38" s="62">
        <f t="shared" si="2"/>
        <v>12312000</v>
      </c>
      <c r="F38" s="61">
        <f>E38*(1-Assumptions!$C$28)</f>
        <v>11942640</v>
      </c>
    </row>
    <row r="39" spans="1:6">
      <c r="A39" s="57">
        <f t="shared" si="3"/>
        <v>12</v>
      </c>
      <c r="B39" s="59" t="str">
        <f>Scenarios!A3</f>
        <v>Base</v>
      </c>
      <c r="C39" s="60">
        <f>Base_Value!C14</f>
        <v>20520000</v>
      </c>
      <c r="D39" s="59">
        <f>Scenarios!B3</f>
        <v>1</v>
      </c>
      <c r="E39" s="60">
        <f t="shared" si="2"/>
        <v>20520000</v>
      </c>
      <c r="F39" s="59">
        <f>E39*(1-Assumptions!$C$28)</f>
        <v>19904400</v>
      </c>
    </row>
    <row r="40" spans="1:6">
      <c r="A40" s="57">
        <f t="shared" si="3"/>
        <v>12</v>
      </c>
      <c r="B40" s="59" t="str">
        <f>Scenarios!A4</f>
        <v>Downside</v>
      </c>
      <c r="C40" s="60">
        <f>Base_Value!C14</f>
        <v>20520000</v>
      </c>
      <c r="D40" s="59">
        <f>Scenarios!B4</f>
        <v>0.8</v>
      </c>
      <c r="E40" s="60">
        <f t="shared" si="2"/>
        <v>16416000</v>
      </c>
      <c r="F40" s="59">
        <f>E40*(1-Assumptions!$C$28)</f>
        <v>15923520</v>
      </c>
    </row>
    <row r="41" spans="1:6">
      <c r="A41" s="57">
        <f t="shared" si="3"/>
        <v>12</v>
      </c>
      <c r="B41" s="59" t="str">
        <f>Scenarios!A5</f>
        <v>Stress</v>
      </c>
      <c r="C41" s="60">
        <f>Base_Value!C14</f>
        <v>20520000</v>
      </c>
      <c r="D41" s="59">
        <f>Scenarios!B5</f>
        <v>0.6</v>
      </c>
      <c r="E41" s="60">
        <f t="shared" si="2"/>
        <v>12312000</v>
      </c>
      <c r="F41" s="59">
        <f>E41*(1-Assumptions!$C$28)</f>
        <v>11942640</v>
      </c>
    </row>
    <row r="42" spans="1:6">
      <c r="A42">
        <f t="shared" si="3"/>
        <v>13</v>
      </c>
      <c r="B42" s="61" t="str">
        <f>Scenarios!A3</f>
        <v>Base</v>
      </c>
      <c r="C42" s="62">
        <f>Base_Value!C15</f>
        <v>20520000</v>
      </c>
      <c r="D42" s="61">
        <f>Scenarios!B3</f>
        <v>1</v>
      </c>
      <c r="E42" s="62">
        <f t="shared" si="2"/>
        <v>20520000</v>
      </c>
      <c r="F42" s="61">
        <f>E42*(1-Assumptions!$C$28)</f>
        <v>19904400</v>
      </c>
    </row>
    <row r="43" spans="1:6">
      <c r="A43">
        <f t="shared" si="3"/>
        <v>13</v>
      </c>
      <c r="B43" s="61" t="str">
        <f>Scenarios!A4</f>
        <v>Downside</v>
      </c>
      <c r="C43" s="62">
        <f>Base_Value!C15</f>
        <v>20520000</v>
      </c>
      <c r="D43" s="61">
        <f>Scenarios!B4</f>
        <v>0.8</v>
      </c>
      <c r="E43" s="62">
        <f t="shared" si="2"/>
        <v>16416000</v>
      </c>
      <c r="F43" s="61">
        <f>E43*(1-Assumptions!$C$28)</f>
        <v>15923520</v>
      </c>
    </row>
    <row r="44" spans="1:6">
      <c r="A44">
        <f t="shared" si="3"/>
        <v>13</v>
      </c>
      <c r="B44" s="61" t="str">
        <f>Scenarios!A5</f>
        <v>Stress</v>
      </c>
      <c r="C44" s="62">
        <f>Base_Value!C15</f>
        <v>20520000</v>
      </c>
      <c r="D44" s="61">
        <f>Scenarios!B5</f>
        <v>0.6</v>
      </c>
      <c r="E44" s="62">
        <f t="shared" si="2"/>
        <v>12312000</v>
      </c>
      <c r="F44" s="61">
        <f>E44*(1-Assumptions!$C$28)</f>
        <v>11942640</v>
      </c>
    </row>
    <row r="45" spans="1:6">
      <c r="A45" s="57">
        <f t="shared" si="3"/>
        <v>14</v>
      </c>
      <c r="B45" s="59" t="str">
        <f>Scenarios!A3</f>
        <v>Base</v>
      </c>
      <c r="C45" s="60">
        <f>Base_Value!C16</f>
        <v>20520000</v>
      </c>
      <c r="D45" s="59">
        <f>Scenarios!B3</f>
        <v>1</v>
      </c>
      <c r="E45" s="60">
        <f t="shared" si="2"/>
        <v>20520000</v>
      </c>
      <c r="F45" s="59">
        <f>E45*(1-Assumptions!$C$28)</f>
        <v>19904400</v>
      </c>
    </row>
    <row r="46" spans="1:6">
      <c r="A46" s="57">
        <f t="shared" si="3"/>
        <v>14</v>
      </c>
      <c r="B46" s="59" t="str">
        <f>Scenarios!A4</f>
        <v>Downside</v>
      </c>
      <c r="C46" s="60">
        <f>Base_Value!C16</f>
        <v>20520000</v>
      </c>
      <c r="D46" s="59">
        <f>Scenarios!B4</f>
        <v>0.8</v>
      </c>
      <c r="E46" s="60">
        <f t="shared" si="2"/>
        <v>16416000</v>
      </c>
      <c r="F46" s="59">
        <f>E46*(1-Assumptions!$C$28)</f>
        <v>15923520</v>
      </c>
    </row>
    <row r="47" spans="1:6">
      <c r="A47" s="57">
        <f t="shared" si="3"/>
        <v>14</v>
      </c>
      <c r="B47" s="59" t="str">
        <f>Scenarios!A5</f>
        <v>Stress</v>
      </c>
      <c r="C47" s="60">
        <f>Base_Value!C16</f>
        <v>20520000</v>
      </c>
      <c r="D47" s="59">
        <f>Scenarios!B5</f>
        <v>0.6</v>
      </c>
      <c r="E47" s="60">
        <f t="shared" si="2"/>
        <v>12312000</v>
      </c>
      <c r="F47" s="59">
        <f>E47*(1-Assumptions!$C$28)</f>
        <v>11942640</v>
      </c>
    </row>
    <row r="48" spans="1:6">
      <c r="A48">
        <f t="shared" si="3"/>
        <v>15</v>
      </c>
      <c r="B48" s="61" t="str">
        <f>Scenarios!A3</f>
        <v>Base</v>
      </c>
      <c r="C48" s="62">
        <f>Base_Value!C17</f>
        <v>20520000</v>
      </c>
      <c r="D48" s="61">
        <f>Scenarios!B3</f>
        <v>1</v>
      </c>
      <c r="E48" s="62">
        <f t="shared" si="2"/>
        <v>20520000</v>
      </c>
      <c r="F48" s="61">
        <f>E48*(1-Assumptions!$C$28)</f>
        <v>19904400</v>
      </c>
    </row>
    <row r="49" spans="1:6">
      <c r="A49">
        <f t="shared" si="3"/>
        <v>15</v>
      </c>
      <c r="B49" s="61" t="str">
        <f>Scenarios!A4</f>
        <v>Downside</v>
      </c>
      <c r="C49" s="62">
        <f>Base_Value!C17</f>
        <v>20520000</v>
      </c>
      <c r="D49" s="61">
        <f>Scenarios!B4</f>
        <v>0.8</v>
      </c>
      <c r="E49" s="62">
        <f t="shared" si="2"/>
        <v>16416000</v>
      </c>
      <c r="F49" s="61">
        <f>E49*(1-Assumptions!$C$28)</f>
        <v>15923520</v>
      </c>
    </row>
    <row r="50" spans="1:6">
      <c r="A50">
        <f t="shared" si="3"/>
        <v>15</v>
      </c>
      <c r="B50" s="61" t="str">
        <f>Scenarios!A5</f>
        <v>Stress</v>
      </c>
      <c r="C50" s="62">
        <f>Base_Value!C17</f>
        <v>20520000</v>
      </c>
      <c r="D50" s="61">
        <f>Scenarios!B5</f>
        <v>0.6</v>
      </c>
      <c r="E50" s="62">
        <f t="shared" si="2"/>
        <v>12312000</v>
      </c>
      <c r="F50" s="61">
        <f>E50*(1-Assumptions!$C$28)</f>
        <v>11942640</v>
      </c>
    </row>
    <row r="51" spans="1:6">
      <c r="A51" s="57">
        <f t="shared" si="3"/>
        <v>16</v>
      </c>
      <c r="B51" s="59" t="str">
        <f>Scenarios!A3</f>
        <v>Base</v>
      </c>
      <c r="C51" s="60">
        <f>Base_Value!C18</f>
        <v>20520000</v>
      </c>
      <c r="D51" s="59">
        <f>Scenarios!B3</f>
        <v>1</v>
      </c>
      <c r="E51" s="60">
        <f t="shared" si="2"/>
        <v>20520000</v>
      </c>
      <c r="F51" s="59">
        <f>E51*(1-Assumptions!$C$28)</f>
        <v>19904400</v>
      </c>
    </row>
    <row r="52" spans="1:6">
      <c r="A52" s="57">
        <f t="shared" si="3"/>
        <v>16</v>
      </c>
      <c r="B52" s="59" t="str">
        <f>Scenarios!A4</f>
        <v>Downside</v>
      </c>
      <c r="C52" s="60">
        <f>Base_Value!C18</f>
        <v>20520000</v>
      </c>
      <c r="D52" s="59">
        <f>Scenarios!B4</f>
        <v>0.8</v>
      </c>
      <c r="E52" s="60">
        <f t="shared" si="2"/>
        <v>16416000</v>
      </c>
      <c r="F52" s="59">
        <f>E52*(1-Assumptions!$C$28)</f>
        <v>15923520</v>
      </c>
    </row>
    <row r="53" spans="1:6">
      <c r="A53" s="57">
        <f t="shared" si="3"/>
        <v>16</v>
      </c>
      <c r="B53" s="59" t="str">
        <f>Scenarios!A5</f>
        <v>Stress</v>
      </c>
      <c r="C53" s="60">
        <f>Base_Value!C18</f>
        <v>20520000</v>
      </c>
      <c r="D53" s="59">
        <f>Scenarios!B5</f>
        <v>0.6</v>
      </c>
      <c r="E53" s="60">
        <f t="shared" si="2"/>
        <v>12312000</v>
      </c>
      <c r="F53" s="59">
        <f>E53*(1-Assumptions!$C$28)</f>
        <v>11942640</v>
      </c>
    </row>
    <row r="54" spans="1:6">
      <c r="A54">
        <f t="shared" si="3"/>
        <v>17</v>
      </c>
      <c r="B54" s="61" t="str">
        <f>Scenarios!A3</f>
        <v>Base</v>
      </c>
      <c r="C54" s="62">
        <f>Base_Value!C19</f>
        <v>20520000</v>
      </c>
      <c r="D54" s="61">
        <f>Scenarios!B3</f>
        <v>1</v>
      </c>
      <c r="E54" s="62">
        <f t="shared" si="2"/>
        <v>20520000</v>
      </c>
      <c r="F54" s="61">
        <f>E54*(1-Assumptions!$C$28)</f>
        <v>19904400</v>
      </c>
    </row>
    <row r="55" spans="1:6">
      <c r="A55">
        <f t="shared" si="3"/>
        <v>17</v>
      </c>
      <c r="B55" s="61" t="str">
        <f>Scenarios!A4</f>
        <v>Downside</v>
      </c>
      <c r="C55" s="62">
        <f>Base_Value!C19</f>
        <v>20520000</v>
      </c>
      <c r="D55" s="61">
        <f>Scenarios!B4</f>
        <v>0.8</v>
      </c>
      <c r="E55" s="62">
        <f t="shared" si="2"/>
        <v>16416000</v>
      </c>
      <c r="F55" s="61">
        <f>E55*(1-Assumptions!$C$28)</f>
        <v>15923520</v>
      </c>
    </row>
    <row r="56" spans="1:6">
      <c r="A56">
        <f t="shared" si="3"/>
        <v>17</v>
      </c>
      <c r="B56" s="61" t="str">
        <f>Scenarios!A5</f>
        <v>Stress</v>
      </c>
      <c r="C56" s="62">
        <f>Base_Value!C19</f>
        <v>20520000</v>
      </c>
      <c r="D56" s="61">
        <f>Scenarios!B5</f>
        <v>0.6</v>
      </c>
      <c r="E56" s="62">
        <f t="shared" si="2"/>
        <v>12312000</v>
      </c>
      <c r="F56" s="61">
        <f>E56*(1-Assumptions!$C$28)</f>
        <v>11942640</v>
      </c>
    </row>
    <row r="57" spans="1:6">
      <c r="A57" s="57">
        <f t="shared" si="3"/>
        <v>18</v>
      </c>
      <c r="B57" s="59" t="str">
        <f>Scenarios!A3</f>
        <v>Base</v>
      </c>
      <c r="C57" s="60">
        <f>Base_Value!C20</f>
        <v>20520000</v>
      </c>
      <c r="D57" s="59">
        <f>Scenarios!B3</f>
        <v>1</v>
      </c>
      <c r="E57" s="60">
        <f t="shared" si="2"/>
        <v>20520000</v>
      </c>
      <c r="F57" s="59">
        <f>E57*(1-Assumptions!$C$28)</f>
        <v>19904400</v>
      </c>
    </row>
    <row r="58" spans="1:6">
      <c r="A58" s="57">
        <f t="shared" si="3"/>
        <v>18</v>
      </c>
      <c r="B58" s="59" t="str">
        <f>Scenarios!A4</f>
        <v>Downside</v>
      </c>
      <c r="C58" s="60">
        <f>Base_Value!C20</f>
        <v>20520000</v>
      </c>
      <c r="D58" s="59">
        <f>Scenarios!B4</f>
        <v>0.8</v>
      </c>
      <c r="E58" s="60">
        <f t="shared" si="2"/>
        <v>16416000</v>
      </c>
      <c r="F58" s="59">
        <f>E58*(1-Assumptions!$C$28)</f>
        <v>15923520</v>
      </c>
    </row>
    <row r="59" spans="1:6">
      <c r="A59" s="57">
        <f t="shared" si="3"/>
        <v>18</v>
      </c>
      <c r="B59" s="59" t="str">
        <f>Scenarios!A5</f>
        <v>Stress</v>
      </c>
      <c r="C59" s="60">
        <f>Base_Value!C20</f>
        <v>20520000</v>
      </c>
      <c r="D59" s="59">
        <f>Scenarios!B5</f>
        <v>0.6</v>
      </c>
      <c r="E59" s="60">
        <f t="shared" si="2"/>
        <v>12312000</v>
      </c>
      <c r="F59" s="59">
        <f>E59*(1-Assumptions!$C$28)</f>
        <v>11942640</v>
      </c>
    </row>
    <row r="60" spans="1:6">
      <c r="A60">
        <f t="shared" si="3"/>
        <v>19</v>
      </c>
      <c r="B60" s="61" t="str">
        <f>Scenarios!A3</f>
        <v>Base</v>
      </c>
      <c r="C60" s="62">
        <f>Base_Value!C21</f>
        <v>20520000</v>
      </c>
      <c r="D60" s="61">
        <f>Scenarios!B3</f>
        <v>1</v>
      </c>
      <c r="E60" s="62">
        <f t="shared" si="2"/>
        <v>20520000</v>
      </c>
      <c r="F60" s="61">
        <f>E60*(1-Assumptions!$C$28)</f>
        <v>19904400</v>
      </c>
    </row>
    <row r="61" spans="1:6">
      <c r="A61">
        <f t="shared" si="3"/>
        <v>19</v>
      </c>
      <c r="B61" s="61" t="str">
        <f>Scenarios!A4</f>
        <v>Downside</v>
      </c>
      <c r="C61" s="62">
        <f>Base_Value!C21</f>
        <v>20520000</v>
      </c>
      <c r="D61" s="61">
        <f>Scenarios!B4</f>
        <v>0.8</v>
      </c>
      <c r="E61" s="62">
        <f t="shared" si="2"/>
        <v>16416000</v>
      </c>
      <c r="F61" s="61">
        <f>E61*(1-Assumptions!$C$28)</f>
        <v>15923520</v>
      </c>
    </row>
    <row r="62" spans="1:6">
      <c r="A62">
        <f t="shared" si="3"/>
        <v>19</v>
      </c>
      <c r="B62" s="61" t="str">
        <f>Scenarios!A5</f>
        <v>Stress</v>
      </c>
      <c r="C62" s="62">
        <f>Base_Value!C21</f>
        <v>20520000</v>
      </c>
      <c r="D62" s="61">
        <f>Scenarios!B5</f>
        <v>0.6</v>
      </c>
      <c r="E62" s="62">
        <f t="shared" si="2"/>
        <v>12312000</v>
      </c>
      <c r="F62" s="61">
        <f>E62*(1-Assumptions!$C$28)</f>
        <v>11942640</v>
      </c>
    </row>
    <row r="63" spans="1:6">
      <c r="A63" s="57">
        <f t="shared" si="3"/>
        <v>20</v>
      </c>
      <c r="B63" s="59" t="str">
        <f>Scenarios!A3</f>
        <v>Base</v>
      </c>
      <c r="C63" s="60">
        <f>Base_Value!C22</f>
        <v>20520000</v>
      </c>
      <c r="D63" s="59">
        <f>Scenarios!B3</f>
        <v>1</v>
      </c>
      <c r="E63" s="60">
        <f t="shared" si="2"/>
        <v>20520000</v>
      </c>
      <c r="F63" s="59">
        <f>E63*(1-Assumptions!$C$28)</f>
        <v>19904400</v>
      </c>
    </row>
    <row r="64" spans="1:6">
      <c r="A64" s="57">
        <f t="shared" si="3"/>
        <v>20</v>
      </c>
      <c r="B64" s="59" t="str">
        <f>Scenarios!A4</f>
        <v>Downside</v>
      </c>
      <c r="C64" s="60">
        <f>Base_Value!C22</f>
        <v>20520000</v>
      </c>
      <c r="D64" s="59">
        <f>Scenarios!B4</f>
        <v>0.8</v>
      </c>
      <c r="E64" s="60">
        <f t="shared" si="2"/>
        <v>16416000</v>
      </c>
      <c r="F64" s="59">
        <f>E64*(1-Assumptions!$C$28)</f>
        <v>15923520</v>
      </c>
    </row>
    <row r="65" spans="1:6">
      <c r="A65" s="57">
        <f t="shared" si="3"/>
        <v>20</v>
      </c>
      <c r="B65" s="59" t="str">
        <f>Scenarios!A5</f>
        <v>Stress</v>
      </c>
      <c r="C65" s="60">
        <f>Base_Value!C22</f>
        <v>20520000</v>
      </c>
      <c r="D65" s="59">
        <f>Scenarios!B5</f>
        <v>0.6</v>
      </c>
      <c r="E65" s="60">
        <f t="shared" si="2"/>
        <v>12312000</v>
      </c>
      <c r="F65" s="59">
        <f>E65*(1-Assumptions!$C$28)</f>
        <v>11942640</v>
      </c>
    </row>
    <row r="66" spans="1:6">
      <c r="A66">
        <f t="shared" si="3"/>
        <v>21</v>
      </c>
      <c r="B66" s="61" t="str">
        <f>Scenarios!A3</f>
        <v>Base</v>
      </c>
      <c r="C66" s="62">
        <f>Base_Value!C23</f>
        <v>20520000</v>
      </c>
      <c r="D66" s="61">
        <f>Scenarios!B3</f>
        <v>1</v>
      </c>
      <c r="E66" s="62">
        <f t="shared" si="2"/>
        <v>20520000</v>
      </c>
      <c r="F66" s="61">
        <f>E66*(1-Assumptions!$C$28)</f>
        <v>19904400</v>
      </c>
    </row>
    <row r="67" spans="1:6">
      <c r="A67">
        <f t="shared" si="3"/>
        <v>21</v>
      </c>
      <c r="B67" s="61" t="str">
        <f>Scenarios!A4</f>
        <v>Downside</v>
      </c>
      <c r="C67" s="62">
        <f>Base_Value!C23</f>
        <v>20520000</v>
      </c>
      <c r="D67" s="61">
        <f>Scenarios!B4</f>
        <v>0.8</v>
      </c>
      <c r="E67" s="62">
        <f t="shared" ref="E67:E80" si="4">C67*D67</f>
        <v>16416000</v>
      </c>
      <c r="F67" s="61">
        <f>E67*(1-Assumptions!$C$28)</f>
        <v>15923520</v>
      </c>
    </row>
    <row r="68" spans="1:6">
      <c r="A68">
        <f t="shared" si="3"/>
        <v>21</v>
      </c>
      <c r="B68" s="61" t="str">
        <f>Scenarios!A5</f>
        <v>Stress</v>
      </c>
      <c r="C68" s="62">
        <f>Base_Value!C23</f>
        <v>20520000</v>
      </c>
      <c r="D68" s="61">
        <f>Scenarios!B5</f>
        <v>0.6</v>
      </c>
      <c r="E68" s="62">
        <f t="shared" si="4"/>
        <v>12312000</v>
      </c>
      <c r="F68" s="61">
        <f>E68*(1-Assumptions!$C$28)</f>
        <v>11942640</v>
      </c>
    </row>
    <row r="69" spans="1:6">
      <c r="A69" s="57">
        <f t="shared" si="3"/>
        <v>22</v>
      </c>
      <c r="B69" s="59" t="str">
        <f>Scenarios!A3</f>
        <v>Base</v>
      </c>
      <c r="C69" s="60">
        <f>Base_Value!C24</f>
        <v>20520000</v>
      </c>
      <c r="D69" s="59">
        <f>Scenarios!B3</f>
        <v>1</v>
      </c>
      <c r="E69" s="60">
        <f t="shared" si="4"/>
        <v>20520000</v>
      </c>
      <c r="F69" s="59">
        <f>E69*(1-Assumptions!$C$28)</f>
        <v>19904400</v>
      </c>
    </row>
    <row r="70" spans="1:6">
      <c r="A70" s="57">
        <f t="shared" ref="A70:A80" si="5">A67+1</f>
        <v>22</v>
      </c>
      <c r="B70" s="59" t="str">
        <f>Scenarios!A4</f>
        <v>Downside</v>
      </c>
      <c r="C70" s="60">
        <f>Base_Value!C24</f>
        <v>20520000</v>
      </c>
      <c r="D70" s="59">
        <f>Scenarios!B4</f>
        <v>0.8</v>
      </c>
      <c r="E70" s="60">
        <f t="shared" si="4"/>
        <v>16416000</v>
      </c>
      <c r="F70" s="59">
        <f>E70*(1-Assumptions!$C$28)</f>
        <v>15923520</v>
      </c>
    </row>
    <row r="71" spans="1:6">
      <c r="A71" s="57">
        <f t="shared" si="5"/>
        <v>22</v>
      </c>
      <c r="B71" s="59" t="str">
        <f>Scenarios!A5</f>
        <v>Stress</v>
      </c>
      <c r="C71" s="60">
        <f>Base_Value!C24</f>
        <v>20520000</v>
      </c>
      <c r="D71" s="59">
        <f>Scenarios!B5</f>
        <v>0.6</v>
      </c>
      <c r="E71" s="60">
        <f t="shared" si="4"/>
        <v>12312000</v>
      </c>
      <c r="F71" s="59">
        <f>E71*(1-Assumptions!$C$28)</f>
        <v>11942640</v>
      </c>
    </row>
    <row r="72" spans="1:6">
      <c r="A72">
        <f t="shared" si="5"/>
        <v>23</v>
      </c>
      <c r="B72" s="61" t="str">
        <f>Scenarios!A3</f>
        <v>Base</v>
      </c>
      <c r="C72" s="62">
        <f>Base_Value!C25</f>
        <v>20520000</v>
      </c>
      <c r="D72" s="61">
        <f>Scenarios!B3</f>
        <v>1</v>
      </c>
      <c r="E72" s="62">
        <f t="shared" si="4"/>
        <v>20520000</v>
      </c>
      <c r="F72" s="61">
        <f>E72*(1-Assumptions!$C$28)</f>
        <v>19904400</v>
      </c>
    </row>
    <row r="73" spans="1:6">
      <c r="A73">
        <f t="shared" si="5"/>
        <v>23</v>
      </c>
      <c r="B73" s="61" t="str">
        <f>Scenarios!A4</f>
        <v>Downside</v>
      </c>
      <c r="C73" s="62">
        <f>Base_Value!C25</f>
        <v>20520000</v>
      </c>
      <c r="D73" s="61">
        <f>Scenarios!B4</f>
        <v>0.8</v>
      </c>
      <c r="E73" s="62">
        <f t="shared" si="4"/>
        <v>16416000</v>
      </c>
      <c r="F73" s="61">
        <f>E73*(1-Assumptions!$C$28)</f>
        <v>15923520</v>
      </c>
    </row>
    <row r="74" spans="1:6">
      <c r="A74">
        <f t="shared" si="5"/>
        <v>23</v>
      </c>
      <c r="B74" s="61" t="str">
        <f>Scenarios!A5</f>
        <v>Stress</v>
      </c>
      <c r="C74" s="62">
        <f>Base_Value!C25</f>
        <v>20520000</v>
      </c>
      <c r="D74" s="61">
        <f>Scenarios!B5</f>
        <v>0.6</v>
      </c>
      <c r="E74" s="62">
        <f t="shared" si="4"/>
        <v>12312000</v>
      </c>
      <c r="F74" s="61">
        <f>E74*(1-Assumptions!$C$28)</f>
        <v>11942640</v>
      </c>
    </row>
    <row r="75" spans="1:6">
      <c r="A75" s="57">
        <f t="shared" si="5"/>
        <v>24</v>
      </c>
      <c r="B75" s="59" t="str">
        <f>Scenarios!A3</f>
        <v>Base</v>
      </c>
      <c r="C75" s="60">
        <f>Base_Value!C26</f>
        <v>20520000</v>
      </c>
      <c r="D75" s="59">
        <f>Scenarios!B3</f>
        <v>1</v>
      </c>
      <c r="E75" s="60">
        <f t="shared" si="4"/>
        <v>20520000</v>
      </c>
      <c r="F75" s="59">
        <f>E75*(1-Assumptions!$C$28)</f>
        <v>19904400</v>
      </c>
    </row>
    <row r="76" spans="1:6">
      <c r="A76" s="57">
        <f t="shared" si="5"/>
        <v>24</v>
      </c>
      <c r="B76" s="59" t="str">
        <f>Scenarios!A4</f>
        <v>Downside</v>
      </c>
      <c r="C76" s="60">
        <f>Base_Value!C26</f>
        <v>20520000</v>
      </c>
      <c r="D76" s="59">
        <f>Scenarios!B4</f>
        <v>0.8</v>
      </c>
      <c r="E76" s="60">
        <f t="shared" si="4"/>
        <v>16416000</v>
      </c>
      <c r="F76" s="59">
        <f>E76*(1-Assumptions!$C$28)</f>
        <v>15923520</v>
      </c>
    </row>
    <row r="77" spans="1:6">
      <c r="A77" s="57">
        <f t="shared" si="5"/>
        <v>24</v>
      </c>
      <c r="B77" s="59" t="str">
        <f>Scenarios!A5</f>
        <v>Stress</v>
      </c>
      <c r="C77" s="60">
        <f>Base_Value!C26</f>
        <v>20520000</v>
      </c>
      <c r="D77" s="59">
        <f>Scenarios!B5</f>
        <v>0.6</v>
      </c>
      <c r="E77" s="60">
        <f t="shared" si="4"/>
        <v>12312000</v>
      </c>
      <c r="F77" s="59">
        <f>E77*(1-Assumptions!$C$28)</f>
        <v>11942640</v>
      </c>
    </row>
    <row r="78" spans="1:6">
      <c r="A78">
        <f t="shared" si="5"/>
        <v>25</v>
      </c>
      <c r="B78" s="61" t="str">
        <f>Scenarios!A3</f>
        <v>Base</v>
      </c>
      <c r="C78" s="62">
        <f>Base_Value!C27</f>
        <v>20520000</v>
      </c>
      <c r="D78" s="61">
        <f>Scenarios!B3</f>
        <v>1</v>
      </c>
      <c r="E78" s="62">
        <f t="shared" si="4"/>
        <v>20520000</v>
      </c>
      <c r="F78" s="61">
        <f>E78*(1-Assumptions!$C$28)</f>
        <v>19904400</v>
      </c>
    </row>
    <row r="79" spans="1:6">
      <c r="A79">
        <f t="shared" si="5"/>
        <v>25</v>
      </c>
      <c r="B79" s="61" t="str">
        <f>Scenarios!A4</f>
        <v>Downside</v>
      </c>
      <c r="C79" s="62">
        <f>Base_Value!C27</f>
        <v>20520000</v>
      </c>
      <c r="D79" s="61">
        <f>Scenarios!B4</f>
        <v>0.8</v>
      </c>
      <c r="E79" s="62">
        <f t="shared" si="4"/>
        <v>16416000</v>
      </c>
      <c r="F79" s="61">
        <f>E79*(1-Assumptions!$C$28)</f>
        <v>15923520</v>
      </c>
    </row>
    <row r="80" spans="1:6">
      <c r="A80">
        <f t="shared" si="5"/>
        <v>25</v>
      </c>
      <c r="B80" s="61" t="str">
        <f>Scenarios!A5</f>
        <v>Stress</v>
      </c>
      <c r="C80" s="62">
        <f>Base_Value!C27</f>
        <v>20520000</v>
      </c>
      <c r="D80" s="61">
        <f>Scenarios!B5</f>
        <v>0.6</v>
      </c>
      <c r="E80" s="62">
        <f t="shared" si="4"/>
        <v>12312000</v>
      </c>
      <c r="F80" s="61">
        <f>E80*(1-Assumptions!$C$28)</f>
        <v>11942640</v>
      </c>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sheetPr>
  <dimension ref="A1:E80"/>
  <sheetViews>
    <sheetView showGridLines="0" workbookViewId="0">
      <pane ySplit="2" topLeftCell="A3" activePane="bottomLeft" state="frozen"/>
      <selection activeCell="C10" sqref="C10"/>
      <selection pane="bottomLeft" activeCell="A27" sqref="A27"/>
    </sheetView>
  </sheetViews>
  <sheetFormatPr defaultColWidth="8.85546875" defaultRowHeight="15"/>
  <cols>
    <col min="1" max="1" width="13.7109375" customWidth="1"/>
    <col min="2" max="2" width="19.85546875" style="8" customWidth="1"/>
    <col min="3" max="3" width="30.28515625" customWidth="1"/>
    <col min="4" max="4" width="38.85546875" customWidth="1"/>
    <col min="5" max="5" width="25.42578125" customWidth="1"/>
  </cols>
  <sheetData>
    <row r="1" spans="1:5" ht="24" customHeight="1">
      <c r="A1" s="119" t="s">
        <v>86</v>
      </c>
      <c r="B1" s="120"/>
      <c r="C1" s="111"/>
      <c r="D1" s="111"/>
      <c r="E1" s="111"/>
    </row>
    <row r="2" spans="1:5" ht="18.95" customHeight="1">
      <c r="A2" s="58" t="s">
        <v>73</v>
      </c>
      <c r="B2" s="11" t="s">
        <v>51</v>
      </c>
      <c r="C2" s="11" t="s">
        <v>85</v>
      </c>
      <c r="D2" s="11" t="s">
        <v>87</v>
      </c>
      <c r="E2" s="11" t="s">
        <v>88</v>
      </c>
    </row>
    <row r="3" spans="1:5">
      <c r="A3" s="57">
        <v>0</v>
      </c>
      <c r="B3" s="59" t="str">
        <f>Scenarios!A3</f>
        <v>Base</v>
      </c>
      <c r="C3" s="60">
        <f>Market_Value!E3</f>
        <v>45600000</v>
      </c>
      <c r="D3" s="59">
        <f>Assumptions!C24*Scenarios!C3</f>
        <v>0.10356065250180964</v>
      </c>
      <c r="E3" s="60">
        <f>VLOOKUP(A3,Base_Value!A:C,3,0)*D3</f>
        <v>4722365.7540825196</v>
      </c>
    </row>
    <row r="4" spans="1:5">
      <c r="A4" s="57">
        <v>0</v>
      </c>
      <c r="B4" s="59" t="str">
        <f>Scenarios!A4</f>
        <v>Downside</v>
      </c>
      <c r="C4" s="60">
        <f>Market_Value!E4</f>
        <v>36480000</v>
      </c>
      <c r="D4" s="59">
        <f>Assumptions!C24*Scenarios!C4</f>
        <v>8.2848522001447711E-2</v>
      </c>
      <c r="E4" s="60">
        <f>VLOOKUP(A4,Base_Value!A:C,3,0)*D4</f>
        <v>3777892.6032660156</v>
      </c>
    </row>
    <row r="5" spans="1:5">
      <c r="A5" s="57">
        <v>0</v>
      </c>
      <c r="B5" s="59" t="str">
        <f>Scenarios!A5</f>
        <v>Stress</v>
      </c>
      <c r="C5" s="60">
        <f>Market_Value!E5</f>
        <v>27360000</v>
      </c>
      <c r="D5" s="59">
        <f>Assumptions!C24*Scenarios!C5</f>
        <v>7.249245675126674E-2</v>
      </c>
      <c r="E5" s="60">
        <f>VLOOKUP(A5,Base_Value!A:C,3,0)*D5</f>
        <v>3305656.0278577632</v>
      </c>
    </row>
    <row r="6" spans="1:5">
      <c r="A6">
        <v>1</v>
      </c>
      <c r="B6" s="61" t="str">
        <f>Scenarios!A3</f>
        <v>Base</v>
      </c>
      <c r="C6" s="62">
        <f>Market_Value!E6</f>
        <v>38760000</v>
      </c>
      <c r="D6" s="61">
        <f>Assumptions!C24*Scenarios!C3</f>
        <v>0.10356065250180964</v>
      </c>
      <c r="E6" s="62">
        <f>VLOOKUP(A6,Base_Value!A:C,3,0)*D6</f>
        <v>4014010.8909701416</v>
      </c>
    </row>
    <row r="7" spans="1:5">
      <c r="A7">
        <v>1</v>
      </c>
      <c r="B7" s="61" t="str">
        <f>Scenarios!A4</f>
        <v>Downside</v>
      </c>
      <c r="C7" s="62">
        <f>Market_Value!E7</f>
        <v>31008000</v>
      </c>
      <c r="D7" s="61">
        <f>Assumptions!C24*Scenarios!C4</f>
        <v>8.2848522001447711E-2</v>
      </c>
      <c r="E7" s="62">
        <f>VLOOKUP(A7,Base_Value!A:C,3,0)*D7</f>
        <v>3211208.7127761133</v>
      </c>
    </row>
    <row r="8" spans="1:5">
      <c r="A8">
        <v>1</v>
      </c>
      <c r="B8" s="61" t="str">
        <f>Scenarios!A5</f>
        <v>Stress</v>
      </c>
      <c r="C8" s="62">
        <f>Market_Value!E8</f>
        <v>23256000</v>
      </c>
      <c r="D8" s="61">
        <f>Assumptions!C24*Scenarios!C5</f>
        <v>7.249245675126674E-2</v>
      </c>
      <c r="E8" s="62">
        <f>VLOOKUP(A8,Base_Value!A:C,3,0)*D8</f>
        <v>2809807.6236790987</v>
      </c>
    </row>
    <row r="9" spans="1:5">
      <c r="A9" s="57">
        <v>2</v>
      </c>
      <c r="B9" s="59" t="str">
        <f>Scenarios!A3</f>
        <v>Base</v>
      </c>
      <c r="C9" s="60">
        <f>Market_Value!E9</f>
        <v>32945999.999999996</v>
      </c>
      <c r="D9" s="59">
        <f>Assumptions!C24*Scenarios!C3</f>
        <v>0.10356065250180964</v>
      </c>
      <c r="E9" s="60">
        <f>VLOOKUP(A9,Base_Value!A:C,3,0)*D9</f>
        <v>3411909.2573246202</v>
      </c>
    </row>
    <row r="10" spans="1:5">
      <c r="A10" s="57">
        <v>2</v>
      </c>
      <c r="B10" s="59" t="str">
        <f>Scenarios!A4</f>
        <v>Downside</v>
      </c>
      <c r="C10" s="60">
        <f>Market_Value!E10</f>
        <v>26356800</v>
      </c>
      <c r="D10" s="59">
        <f>Assumptions!C24*Scenarios!C4</f>
        <v>8.2848522001447711E-2</v>
      </c>
      <c r="E10" s="60">
        <f>VLOOKUP(A10,Base_Value!A:C,3,0)*D10</f>
        <v>2729527.4058596957</v>
      </c>
    </row>
    <row r="11" spans="1:5">
      <c r="A11" s="57">
        <v>2</v>
      </c>
      <c r="B11" s="59" t="str">
        <f>Scenarios!A5</f>
        <v>Stress</v>
      </c>
      <c r="C11" s="60">
        <f>Market_Value!E11</f>
        <v>19767599.999999996</v>
      </c>
      <c r="D11" s="59">
        <f>Assumptions!C24*Scenarios!C5</f>
        <v>7.249245675126674E-2</v>
      </c>
      <c r="E11" s="60">
        <f>VLOOKUP(A11,Base_Value!A:C,3,0)*D11</f>
        <v>2388336.4801272335</v>
      </c>
    </row>
    <row r="12" spans="1:5">
      <c r="A12">
        <v>3</v>
      </c>
      <c r="B12" s="61" t="str">
        <f>Scenarios!A3</f>
        <v>Base</v>
      </c>
      <c r="C12" s="62">
        <f>Market_Value!E12</f>
        <v>28004099.999999996</v>
      </c>
      <c r="D12" s="61">
        <f>Assumptions!C24*Scenarios!C3</f>
        <v>0.10356065250180964</v>
      </c>
      <c r="E12" s="62">
        <f>VLOOKUP(A12,Base_Value!A:C,3,0)*D12</f>
        <v>2900122.8687259271</v>
      </c>
    </row>
    <row r="13" spans="1:5">
      <c r="A13">
        <v>3</v>
      </c>
      <c r="B13" s="61" t="str">
        <f>Scenarios!A4</f>
        <v>Downside</v>
      </c>
      <c r="C13" s="62">
        <f>Market_Value!E13</f>
        <v>22403280</v>
      </c>
      <c r="D13" s="61">
        <f>Assumptions!C24*Scenarios!C4</f>
        <v>8.2848522001447711E-2</v>
      </c>
      <c r="E13" s="62">
        <f>VLOOKUP(A13,Base_Value!A:C,3,0)*D13</f>
        <v>2320098.2949807416</v>
      </c>
    </row>
    <row r="14" spans="1:5">
      <c r="A14">
        <v>3</v>
      </c>
      <c r="B14" s="61" t="str">
        <f>Scenarios!A5</f>
        <v>Stress</v>
      </c>
      <c r="C14" s="62">
        <f>Market_Value!E14</f>
        <v>16802459.999999996</v>
      </c>
      <c r="D14" s="61">
        <f>Assumptions!C24*Scenarios!C5</f>
        <v>7.249245675126674E-2</v>
      </c>
      <c r="E14" s="62">
        <f>VLOOKUP(A14,Base_Value!A:C,3,0)*D14</f>
        <v>2030086.0081081486</v>
      </c>
    </row>
    <row r="15" spans="1:5">
      <c r="A15" s="57">
        <v>4</v>
      </c>
      <c r="B15" s="59" t="str">
        <f>Scenarios!A3</f>
        <v>Base</v>
      </c>
      <c r="C15" s="60">
        <f>Market_Value!E15</f>
        <v>23803484.999999996</v>
      </c>
      <c r="D15" s="59">
        <f>Assumptions!C24*Scenarios!C3</f>
        <v>0.10356065250180964</v>
      </c>
      <c r="E15" s="60">
        <f>VLOOKUP(A15,Base_Value!A:C,3,0)*D15</f>
        <v>2465104.4384170379</v>
      </c>
    </row>
    <row r="16" spans="1:5">
      <c r="A16" s="57">
        <v>4</v>
      </c>
      <c r="B16" s="59" t="str">
        <f>Scenarios!A4</f>
        <v>Downside</v>
      </c>
      <c r="C16" s="60">
        <f>Market_Value!E16</f>
        <v>19042787.999999996</v>
      </c>
      <c r="D16" s="59">
        <f>Assumptions!C24*Scenarios!C4</f>
        <v>8.2848522001447711E-2</v>
      </c>
      <c r="E16" s="60">
        <f>VLOOKUP(A16,Base_Value!A:C,3,0)*D16</f>
        <v>1972083.5507336303</v>
      </c>
    </row>
    <row r="17" spans="1:5">
      <c r="A17" s="57">
        <v>4</v>
      </c>
      <c r="B17" s="59" t="str">
        <f>Scenarios!A5</f>
        <v>Stress</v>
      </c>
      <c r="C17" s="60">
        <f>Market_Value!E17</f>
        <v>14282090.999999998</v>
      </c>
      <c r="D17" s="59">
        <f>Assumptions!C24*Scenarios!C5</f>
        <v>7.249245675126674E-2</v>
      </c>
      <c r="E17" s="60">
        <f>VLOOKUP(A17,Base_Value!A:C,3,0)*D17</f>
        <v>1725573.1068919264</v>
      </c>
    </row>
    <row r="18" spans="1:5">
      <c r="A18">
        <v>5</v>
      </c>
      <c r="B18" s="61" t="str">
        <f>Scenarios!A3</f>
        <v>Base</v>
      </c>
      <c r="C18" s="62">
        <f>Market_Value!E18</f>
        <v>20520000</v>
      </c>
      <c r="D18" s="61">
        <f>Assumptions!C24*Scenarios!C3</f>
        <v>0.10356065250180964</v>
      </c>
      <c r="E18" s="62">
        <f>VLOOKUP(A18,Base_Value!A:C,3,0)*D18</f>
        <v>2125064.5893371338</v>
      </c>
    </row>
    <row r="19" spans="1:5">
      <c r="A19">
        <v>5</v>
      </c>
      <c r="B19" s="61" t="str">
        <f>Scenarios!A4</f>
        <v>Downside</v>
      </c>
      <c r="C19" s="62">
        <f>Market_Value!E19</f>
        <v>16416000</v>
      </c>
      <c r="D19" s="61">
        <f>Assumptions!C24*Scenarios!C4</f>
        <v>8.2848522001447711E-2</v>
      </c>
      <c r="E19" s="62">
        <f>VLOOKUP(A19,Base_Value!A:C,3,0)*D19</f>
        <v>1700051.671469707</v>
      </c>
    </row>
    <row r="20" spans="1:5">
      <c r="A20">
        <v>5</v>
      </c>
      <c r="B20" s="61" t="str">
        <f>Scenarios!A5</f>
        <v>Stress</v>
      </c>
      <c r="C20" s="62">
        <f>Market_Value!E20</f>
        <v>12312000</v>
      </c>
      <c r="D20" s="61">
        <f>Assumptions!C24*Scenarios!C5</f>
        <v>7.249245675126674E-2</v>
      </c>
      <c r="E20" s="62">
        <f>VLOOKUP(A20,Base_Value!A:C,3,0)*D20</f>
        <v>1487545.2125359934</v>
      </c>
    </row>
    <row r="21" spans="1:5">
      <c r="A21" s="57">
        <v>6</v>
      </c>
      <c r="B21" s="59" t="str">
        <f>Scenarios!A3</f>
        <v>Base</v>
      </c>
      <c r="C21" s="60">
        <f>Market_Value!E21</f>
        <v>20520000</v>
      </c>
      <c r="D21" s="59">
        <f>Assumptions!C24*Scenarios!C3</f>
        <v>0.10356065250180964</v>
      </c>
      <c r="E21" s="60">
        <f>VLOOKUP(A21,Base_Value!A:C,3,0)*D21</f>
        <v>2125064.5893371338</v>
      </c>
    </row>
    <row r="22" spans="1:5">
      <c r="A22" s="57">
        <v>6</v>
      </c>
      <c r="B22" s="59" t="str">
        <f>Scenarios!A4</f>
        <v>Downside</v>
      </c>
      <c r="C22" s="60">
        <f>Market_Value!E22</f>
        <v>16416000</v>
      </c>
      <c r="D22" s="59">
        <f>Assumptions!C24*Scenarios!C4</f>
        <v>8.2848522001447711E-2</v>
      </c>
      <c r="E22" s="60">
        <f>VLOOKUP(A22,Base_Value!A:C,3,0)*D22</f>
        <v>1700051.671469707</v>
      </c>
    </row>
    <row r="23" spans="1:5">
      <c r="A23" s="57">
        <v>6</v>
      </c>
      <c r="B23" s="59" t="str">
        <f>Scenarios!A5</f>
        <v>Stress</v>
      </c>
      <c r="C23" s="60">
        <f>Market_Value!E23</f>
        <v>12312000</v>
      </c>
      <c r="D23" s="59">
        <f>Assumptions!C24*Scenarios!C5</f>
        <v>7.249245675126674E-2</v>
      </c>
      <c r="E23" s="60">
        <f>VLOOKUP(A23,Base_Value!A:C,3,0)*D23</f>
        <v>1487545.2125359934</v>
      </c>
    </row>
    <row r="24" spans="1:5">
      <c r="A24">
        <v>7</v>
      </c>
      <c r="B24" s="61" t="str">
        <f>Scenarios!A3</f>
        <v>Base</v>
      </c>
      <c r="C24" s="62">
        <f>Market_Value!E24</f>
        <v>20520000</v>
      </c>
      <c r="D24" s="61">
        <f>Assumptions!C24*Scenarios!C3</f>
        <v>0.10356065250180964</v>
      </c>
      <c r="E24" s="62">
        <f>VLOOKUP(A24,Base_Value!A:C,3,0)*D24</f>
        <v>2125064.5893371338</v>
      </c>
    </row>
    <row r="25" spans="1:5">
      <c r="A25">
        <v>7</v>
      </c>
      <c r="B25" s="61" t="str">
        <f>Scenarios!A4</f>
        <v>Downside</v>
      </c>
      <c r="C25" s="62">
        <f>Market_Value!E25</f>
        <v>16416000</v>
      </c>
      <c r="D25" s="61">
        <f>Assumptions!C24*Scenarios!C4</f>
        <v>8.2848522001447711E-2</v>
      </c>
      <c r="E25" s="62">
        <f>VLOOKUP(A25,Base_Value!A:C,3,0)*D25</f>
        <v>1700051.671469707</v>
      </c>
    </row>
    <row r="26" spans="1:5">
      <c r="A26">
        <v>7</v>
      </c>
      <c r="B26" s="61" t="str">
        <f>Scenarios!A5</f>
        <v>Stress</v>
      </c>
      <c r="C26" s="62">
        <f>Market_Value!E26</f>
        <v>12312000</v>
      </c>
      <c r="D26" s="61">
        <f>Assumptions!C24*Scenarios!C5</f>
        <v>7.249245675126674E-2</v>
      </c>
      <c r="E26" s="62">
        <f>VLOOKUP(A26,Base_Value!A:C,3,0)*D26</f>
        <v>1487545.2125359934</v>
      </c>
    </row>
    <row r="27" spans="1:5">
      <c r="A27" s="57">
        <v>8</v>
      </c>
      <c r="B27" s="59" t="str">
        <f>Scenarios!A3</f>
        <v>Base</v>
      </c>
      <c r="C27" s="60">
        <f>Market_Value!E27</f>
        <v>20520000</v>
      </c>
      <c r="D27" s="59">
        <f>Assumptions!C24*Scenarios!C3</f>
        <v>0.10356065250180964</v>
      </c>
      <c r="E27" s="60">
        <f>VLOOKUP(A27,Base_Value!A:C,3,0)*D27</f>
        <v>2125064.5893371338</v>
      </c>
    </row>
    <row r="28" spans="1:5">
      <c r="A28" s="57">
        <v>8</v>
      </c>
      <c r="B28" s="59" t="str">
        <f>Scenarios!A4</f>
        <v>Downside</v>
      </c>
      <c r="C28" s="60">
        <f>Market_Value!E28</f>
        <v>16416000</v>
      </c>
      <c r="D28" s="59">
        <f>Assumptions!C24*Scenarios!C4</f>
        <v>8.2848522001447711E-2</v>
      </c>
      <c r="E28" s="60">
        <f>VLOOKUP(A28,Base_Value!A:C,3,0)*D28</f>
        <v>1700051.671469707</v>
      </c>
    </row>
    <row r="29" spans="1:5">
      <c r="A29" s="57">
        <v>8</v>
      </c>
      <c r="B29" s="59" t="str">
        <f>Scenarios!A5</f>
        <v>Stress</v>
      </c>
      <c r="C29" s="60">
        <f>Market_Value!E29</f>
        <v>12312000</v>
      </c>
      <c r="D29" s="59">
        <f>Assumptions!C24*Scenarios!C5</f>
        <v>7.249245675126674E-2</v>
      </c>
      <c r="E29" s="60">
        <f>VLOOKUP(A29,Base_Value!A:C,3,0)*D29</f>
        <v>1487545.2125359934</v>
      </c>
    </row>
    <row r="30" spans="1:5">
      <c r="A30">
        <v>9</v>
      </c>
      <c r="B30" s="61" t="str">
        <f>Scenarios!A3</f>
        <v>Base</v>
      </c>
      <c r="C30" s="62">
        <f>Market_Value!E30</f>
        <v>20520000</v>
      </c>
      <c r="D30" s="61">
        <f>Assumptions!C24*Scenarios!C3</f>
        <v>0.10356065250180964</v>
      </c>
      <c r="E30" s="62">
        <f>VLOOKUP(A30,Base_Value!A:C,3,0)*D30</f>
        <v>2125064.5893371338</v>
      </c>
    </row>
    <row r="31" spans="1:5">
      <c r="A31">
        <v>9</v>
      </c>
      <c r="B31" s="61" t="str">
        <f>Scenarios!A4</f>
        <v>Downside</v>
      </c>
      <c r="C31" s="62">
        <f>Market_Value!E31</f>
        <v>16416000</v>
      </c>
      <c r="D31" s="61">
        <f>Assumptions!C24*Scenarios!C4</f>
        <v>8.2848522001447711E-2</v>
      </c>
      <c r="E31" s="62">
        <f>VLOOKUP(A31,Base_Value!A:C,3,0)*D31</f>
        <v>1700051.671469707</v>
      </c>
    </row>
    <row r="32" spans="1:5">
      <c r="A32">
        <v>9</v>
      </c>
      <c r="B32" s="61" t="str">
        <f>Scenarios!A5</f>
        <v>Stress</v>
      </c>
      <c r="C32" s="62">
        <f>Market_Value!E32</f>
        <v>12312000</v>
      </c>
      <c r="D32" s="61">
        <f>Assumptions!C24*Scenarios!C5</f>
        <v>7.249245675126674E-2</v>
      </c>
      <c r="E32" s="62">
        <f>VLOOKUP(A32,Base_Value!A:C,3,0)*D32</f>
        <v>1487545.2125359934</v>
      </c>
    </row>
    <row r="33" spans="1:5">
      <c r="A33" s="57">
        <v>10</v>
      </c>
      <c r="B33" s="59" t="str">
        <f>Scenarios!A3</f>
        <v>Base</v>
      </c>
      <c r="C33" s="60">
        <f>Market_Value!E33</f>
        <v>20520000</v>
      </c>
      <c r="D33" s="59">
        <f>Assumptions!C24*Scenarios!C3</f>
        <v>0.10356065250180964</v>
      </c>
      <c r="E33" s="60">
        <f>VLOOKUP(A33,Base_Value!A:C,3,0)*D33</f>
        <v>2125064.5893371338</v>
      </c>
    </row>
    <row r="34" spans="1:5">
      <c r="A34" s="57">
        <v>10</v>
      </c>
      <c r="B34" s="59" t="str">
        <f>Scenarios!A4</f>
        <v>Downside</v>
      </c>
      <c r="C34" s="60">
        <f>Market_Value!E34</f>
        <v>16416000</v>
      </c>
      <c r="D34" s="59">
        <f>Assumptions!C24*Scenarios!C4</f>
        <v>8.2848522001447711E-2</v>
      </c>
      <c r="E34" s="60">
        <f>VLOOKUP(A34,Base_Value!A:C,3,0)*D34</f>
        <v>1700051.671469707</v>
      </c>
    </row>
    <row r="35" spans="1:5">
      <c r="A35" s="57">
        <v>10</v>
      </c>
      <c r="B35" s="59" t="str">
        <f>Scenarios!A5</f>
        <v>Stress</v>
      </c>
      <c r="C35" s="60">
        <f>Market_Value!E35</f>
        <v>12312000</v>
      </c>
      <c r="D35" s="59">
        <f>Assumptions!C24*Scenarios!C5</f>
        <v>7.249245675126674E-2</v>
      </c>
      <c r="E35" s="60">
        <f>VLOOKUP(A35,Base_Value!A:C,3,0)*D35</f>
        <v>1487545.2125359934</v>
      </c>
    </row>
    <row r="36" spans="1:5">
      <c r="A36">
        <v>11</v>
      </c>
      <c r="B36" s="61" t="str">
        <f>Scenarios!A3</f>
        <v>Base</v>
      </c>
      <c r="C36" s="62">
        <f>Market_Value!E36</f>
        <v>20520000</v>
      </c>
      <c r="D36" s="61">
        <f>Assumptions!C24*Scenarios!C3</f>
        <v>0.10356065250180964</v>
      </c>
      <c r="E36" s="62">
        <f>VLOOKUP(A36,Base_Value!A:C,3,0)*D36</f>
        <v>2125064.5893371338</v>
      </c>
    </row>
    <row r="37" spans="1:5">
      <c r="A37">
        <v>11</v>
      </c>
      <c r="B37" s="61" t="str">
        <f>Scenarios!A4</f>
        <v>Downside</v>
      </c>
      <c r="C37" s="62">
        <f>Market_Value!E37</f>
        <v>16416000</v>
      </c>
      <c r="D37" s="61">
        <f>Assumptions!C24*Scenarios!C4</f>
        <v>8.2848522001447711E-2</v>
      </c>
      <c r="E37" s="62">
        <f>VLOOKUP(A37,Base_Value!A:C,3,0)*D37</f>
        <v>1700051.671469707</v>
      </c>
    </row>
    <row r="38" spans="1:5">
      <c r="A38">
        <v>11</v>
      </c>
      <c r="B38" s="61" t="str">
        <f>Scenarios!A5</f>
        <v>Stress</v>
      </c>
      <c r="C38" s="62">
        <f>Market_Value!E38</f>
        <v>12312000</v>
      </c>
      <c r="D38" s="61">
        <f>Assumptions!C24*Scenarios!C5</f>
        <v>7.249245675126674E-2</v>
      </c>
      <c r="E38" s="62">
        <f>VLOOKUP(A38,Base_Value!A:C,3,0)*D38</f>
        <v>1487545.2125359934</v>
      </c>
    </row>
    <row r="39" spans="1:5">
      <c r="A39" s="57">
        <v>12</v>
      </c>
      <c r="B39" s="59" t="str">
        <f>Scenarios!A3</f>
        <v>Base</v>
      </c>
      <c r="C39" s="60">
        <f>Market_Value!E39</f>
        <v>20520000</v>
      </c>
      <c r="D39" s="59">
        <f>Assumptions!C24*Scenarios!C3</f>
        <v>0.10356065250180964</v>
      </c>
      <c r="E39" s="60">
        <f>VLOOKUP(A39,Base_Value!A:C,3,0)*D39</f>
        <v>2125064.5893371338</v>
      </c>
    </row>
    <row r="40" spans="1:5">
      <c r="A40" s="57">
        <v>12</v>
      </c>
      <c r="B40" s="59" t="str">
        <f>Scenarios!A4</f>
        <v>Downside</v>
      </c>
      <c r="C40" s="60">
        <f>Market_Value!E40</f>
        <v>16416000</v>
      </c>
      <c r="D40" s="59">
        <f>Assumptions!C24*Scenarios!C4</f>
        <v>8.2848522001447711E-2</v>
      </c>
      <c r="E40" s="60">
        <f>VLOOKUP(A40,Base_Value!A:C,3,0)*D40</f>
        <v>1700051.671469707</v>
      </c>
    </row>
    <row r="41" spans="1:5">
      <c r="A41" s="57">
        <v>12</v>
      </c>
      <c r="B41" s="59" t="str">
        <f>Scenarios!A5</f>
        <v>Stress</v>
      </c>
      <c r="C41" s="60">
        <f>Market_Value!E41</f>
        <v>12312000</v>
      </c>
      <c r="D41" s="59">
        <f>Assumptions!C24*Scenarios!C5</f>
        <v>7.249245675126674E-2</v>
      </c>
      <c r="E41" s="60">
        <f>VLOOKUP(A41,Base_Value!A:C,3,0)*D41</f>
        <v>1487545.2125359934</v>
      </c>
    </row>
    <row r="42" spans="1:5">
      <c r="A42">
        <v>13</v>
      </c>
      <c r="B42" s="61" t="str">
        <f>Scenarios!A3</f>
        <v>Base</v>
      </c>
      <c r="C42" s="62">
        <f>Market_Value!E42</f>
        <v>20520000</v>
      </c>
      <c r="D42" s="61">
        <f>Assumptions!C24*Scenarios!C3</f>
        <v>0.10356065250180964</v>
      </c>
      <c r="E42" s="62">
        <f>VLOOKUP(A42,Base_Value!A:C,3,0)*D42</f>
        <v>2125064.5893371338</v>
      </c>
    </row>
    <row r="43" spans="1:5">
      <c r="A43">
        <v>13</v>
      </c>
      <c r="B43" s="61" t="str">
        <f>Scenarios!A4</f>
        <v>Downside</v>
      </c>
      <c r="C43" s="62">
        <f>Market_Value!E43</f>
        <v>16416000</v>
      </c>
      <c r="D43" s="61">
        <f>Assumptions!C24*Scenarios!C4</f>
        <v>8.2848522001447711E-2</v>
      </c>
      <c r="E43" s="62">
        <f>VLOOKUP(A43,Base_Value!A:C,3,0)*D43</f>
        <v>1700051.671469707</v>
      </c>
    </row>
    <row r="44" spans="1:5">
      <c r="A44">
        <v>13</v>
      </c>
      <c r="B44" s="61" t="str">
        <f>Scenarios!A5</f>
        <v>Stress</v>
      </c>
      <c r="C44" s="62">
        <f>Market_Value!E44</f>
        <v>12312000</v>
      </c>
      <c r="D44" s="61">
        <f>Assumptions!C24*Scenarios!C5</f>
        <v>7.249245675126674E-2</v>
      </c>
      <c r="E44" s="62">
        <f>VLOOKUP(A44,Base_Value!A:C,3,0)*D44</f>
        <v>1487545.2125359934</v>
      </c>
    </row>
    <row r="45" spans="1:5">
      <c r="A45" s="57">
        <v>14</v>
      </c>
      <c r="B45" s="59" t="str">
        <f>Scenarios!A3</f>
        <v>Base</v>
      </c>
      <c r="C45" s="60">
        <f>Market_Value!E45</f>
        <v>20520000</v>
      </c>
      <c r="D45" s="59">
        <f>Assumptions!C24*Scenarios!C3</f>
        <v>0.10356065250180964</v>
      </c>
      <c r="E45" s="60">
        <f>VLOOKUP(A45,Base_Value!A:C,3,0)*D45</f>
        <v>2125064.5893371338</v>
      </c>
    </row>
    <row r="46" spans="1:5">
      <c r="A46" s="57">
        <v>14</v>
      </c>
      <c r="B46" s="59" t="str">
        <f>Scenarios!A4</f>
        <v>Downside</v>
      </c>
      <c r="C46" s="60">
        <f>Market_Value!E46</f>
        <v>16416000</v>
      </c>
      <c r="D46" s="59">
        <f>Assumptions!C24*Scenarios!C4</f>
        <v>8.2848522001447711E-2</v>
      </c>
      <c r="E46" s="60">
        <f>VLOOKUP(A46,Base_Value!A:C,3,0)*D46</f>
        <v>1700051.671469707</v>
      </c>
    </row>
    <row r="47" spans="1:5">
      <c r="A47" s="57">
        <v>14</v>
      </c>
      <c r="B47" s="59" t="str">
        <f>Scenarios!A5</f>
        <v>Stress</v>
      </c>
      <c r="C47" s="60">
        <f>Market_Value!E47</f>
        <v>12312000</v>
      </c>
      <c r="D47" s="59">
        <f>Assumptions!C24*Scenarios!C5</f>
        <v>7.249245675126674E-2</v>
      </c>
      <c r="E47" s="60">
        <f>VLOOKUP(A47,Base_Value!A:C,3,0)*D47</f>
        <v>1487545.2125359934</v>
      </c>
    </row>
    <row r="48" spans="1:5">
      <c r="A48">
        <v>15</v>
      </c>
      <c r="B48" s="61" t="str">
        <f>Scenarios!A3</f>
        <v>Base</v>
      </c>
      <c r="C48" s="62">
        <f>Market_Value!E48</f>
        <v>20520000</v>
      </c>
      <c r="D48" s="61">
        <f>Assumptions!C24*Scenarios!C3</f>
        <v>0.10356065250180964</v>
      </c>
      <c r="E48" s="62">
        <f>VLOOKUP(A48,Base_Value!A:C,3,0)*D48</f>
        <v>2125064.5893371338</v>
      </c>
    </row>
    <row r="49" spans="1:5">
      <c r="A49">
        <v>15</v>
      </c>
      <c r="B49" s="61" t="str">
        <f>Scenarios!A4</f>
        <v>Downside</v>
      </c>
      <c r="C49" s="62">
        <f>Market_Value!E49</f>
        <v>16416000</v>
      </c>
      <c r="D49" s="61">
        <f>Assumptions!C24*Scenarios!C4</f>
        <v>8.2848522001447711E-2</v>
      </c>
      <c r="E49" s="62">
        <f>VLOOKUP(A49,Base_Value!A:C,3,0)*D49</f>
        <v>1700051.671469707</v>
      </c>
    </row>
    <row r="50" spans="1:5">
      <c r="A50">
        <v>15</v>
      </c>
      <c r="B50" s="61" t="str">
        <f>Scenarios!A5</f>
        <v>Stress</v>
      </c>
      <c r="C50" s="62">
        <f>Market_Value!E50</f>
        <v>12312000</v>
      </c>
      <c r="D50" s="61">
        <f>Assumptions!C24*Scenarios!C5</f>
        <v>7.249245675126674E-2</v>
      </c>
      <c r="E50" s="62">
        <f>VLOOKUP(A50,Base_Value!A:C,3,0)*D50</f>
        <v>1487545.2125359934</v>
      </c>
    </row>
    <row r="51" spans="1:5">
      <c r="A51" s="57">
        <v>16</v>
      </c>
      <c r="B51" s="59" t="str">
        <f>Scenarios!A3</f>
        <v>Base</v>
      </c>
      <c r="C51" s="60">
        <f>Market_Value!E51</f>
        <v>20520000</v>
      </c>
      <c r="D51" s="59">
        <f>Assumptions!C24*Scenarios!C3</f>
        <v>0.10356065250180964</v>
      </c>
      <c r="E51" s="60">
        <f>VLOOKUP(A51,Base_Value!A:C,3,0)*D51</f>
        <v>2125064.5893371338</v>
      </c>
    </row>
    <row r="52" spans="1:5">
      <c r="A52" s="57">
        <v>16</v>
      </c>
      <c r="B52" s="59" t="str">
        <f>Scenarios!A4</f>
        <v>Downside</v>
      </c>
      <c r="C52" s="60">
        <f>Market_Value!E52</f>
        <v>16416000</v>
      </c>
      <c r="D52" s="59">
        <f>Assumptions!C24*Scenarios!C4</f>
        <v>8.2848522001447711E-2</v>
      </c>
      <c r="E52" s="60">
        <f>VLOOKUP(A52,Base_Value!A:C,3,0)*D52</f>
        <v>1700051.671469707</v>
      </c>
    </row>
    <row r="53" spans="1:5">
      <c r="A53" s="57">
        <v>16</v>
      </c>
      <c r="B53" s="59" t="str">
        <f>Scenarios!A5</f>
        <v>Stress</v>
      </c>
      <c r="C53" s="60">
        <f>Market_Value!E53</f>
        <v>12312000</v>
      </c>
      <c r="D53" s="59">
        <f>Assumptions!C24*Scenarios!C5</f>
        <v>7.249245675126674E-2</v>
      </c>
      <c r="E53" s="60">
        <f>VLOOKUP(A53,Base_Value!A:C,3,0)*D53</f>
        <v>1487545.2125359934</v>
      </c>
    </row>
    <row r="54" spans="1:5">
      <c r="A54">
        <v>17</v>
      </c>
      <c r="B54" s="61" t="str">
        <f>Scenarios!A3</f>
        <v>Base</v>
      </c>
      <c r="C54" s="62">
        <f>Market_Value!E54</f>
        <v>20520000</v>
      </c>
      <c r="D54" s="61">
        <f>Assumptions!C24*Scenarios!C3</f>
        <v>0.10356065250180964</v>
      </c>
      <c r="E54" s="62">
        <f>VLOOKUP(A54,Base_Value!A:C,3,0)*D54</f>
        <v>2125064.5893371338</v>
      </c>
    </row>
    <row r="55" spans="1:5">
      <c r="A55">
        <v>17</v>
      </c>
      <c r="B55" s="61" t="str">
        <f>Scenarios!A4</f>
        <v>Downside</v>
      </c>
      <c r="C55" s="62">
        <f>Market_Value!E55</f>
        <v>16416000</v>
      </c>
      <c r="D55" s="61">
        <f>Assumptions!C24*Scenarios!C4</f>
        <v>8.2848522001447711E-2</v>
      </c>
      <c r="E55" s="62">
        <f>VLOOKUP(A55,Base_Value!A:C,3,0)*D55</f>
        <v>1700051.671469707</v>
      </c>
    </row>
    <row r="56" spans="1:5">
      <c r="A56">
        <v>17</v>
      </c>
      <c r="B56" s="61" t="str">
        <f>Scenarios!A5</f>
        <v>Stress</v>
      </c>
      <c r="C56" s="62">
        <f>Market_Value!E56</f>
        <v>12312000</v>
      </c>
      <c r="D56" s="61">
        <f>Assumptions!C24*Scenarios!C5</f>
        <v>7.249245675126674E-2</v>
      </c>
      <c r="E56" s="62">
        <f>VLOOKUP(A56,Base_Value!A:C,3,0)*D56</f>
        <v>1487545.2125359934</v>
      </c>
    </row>
    <row r="57" spans="1:5">
      <c r="A57" s="57">
        <v>18</v>
      </c>
      <c r="B57" s="59" t="str">
        <f>Scenarios!A3</f>
        <v>Base</v>
      </c>
      <c r="C57" s="60">
        <f>Market_Value!E57</f>
        <v>20520000</v>
      </c>
      <c r="D57" s="59">
        <f>Assumptions!C24*Scenarios!C3</f>
        <v>0.10356065250180964</v>
      </c>
      <c r="E57" s="60">
        <f>VLOOKUP(A57,Base_Value!A:C,3,0)*D57</f>
        <v>2125064.5893371338</v>
      </c>
    </row>
    <row r="58" spans="1:5">
      <c r="A58" s="57">
        <v>18</v>
      </c>
      <c r="B58" s="59" t="str">
        <f>Scenarios!A4</f>
        <v>Downside</v>
      </c>
      <c r="C58" s="60">
        <f>Market_Value!E58</f>
        <v>16416000</v>
      </c>
      <c r="D58" s="59">
        <f>Assumptions!C24*Scenarios!C4</f>
        <v>8.2848522001447711E-2</v>
      </c>
      <c r="E58" s="60">
        <f>VLOOKUP(A58,Base_Value!A:C,3,0)*D58</f>
        <v>1700051.671469707</v>
      </c>
    </row>
    <row r="59" spans="1:5">
      <c r="A59" s="57">
        <v>18</v>
      </c>
      <c r="B59" s="59" t="str">
        <f>Scenarios!A5</f>
        <v>Stress</v>
      </c>
      <c r="C59" s="60">
        <f>Market_Value!E59</f>
        <v>12312000</v>
      </c>
      <c r="D59" s="59">
        <f>Assumptions!C24*Scenarios!C5</f>
        <v>7.249245675126674E-2</v>
      </c>
      <c r="E59" s="60">
        <f>VLOOKUP(A59,Base_Value!A:C,3,0)*D59</f>
        <v>1487545.2125359934</v>
      </c>
    </row>
    <row r="60" spans="1:5">
      <c r="A60">
        <v>19</v>
      </c>
      <c r="B60" s="61" t="str">
        <f>Scenarios!A3</f>
        <v>Base</v>
      </c>
      <c r="C60" s="62">
        <f>Market_Value!E60</f>
        <v>20520000</v>
      </c>
      <c r="D60" s="61">
        <f>Assumptions!C24*Scenarios!C3</f>
        <v>0.10356065250180964</v>
      </c>
      <c r="E60" s="62">
        <f>VLOOKUP(A60,Base_Value!A:C,3,0)*D60</f>
        <v>2125064.5893371338</v>
      </c>
    </row>
    <row r="61" spans="1:5">
      <c r="A61">
        <v>19</v>
      </c>
      <c r="B61" s="61" t="str">
        <f>Scenarios!A4</f>
        <v>Downside</v>
      </c>
      <c r="C61" s="62">
        <f>Market_Value!E61</f>
        <v>16416000</v>
      </c>
      <c r="D61" s="61">
        <f>Assumptions!C24*Scenarios!C4</f>
        <v>8.2848522001447711E-2</v>
      </c>
      <c r="E61" s="62">
        <f>VLOOKUP(A61,Base_Value!A:C,3,0)*D61</f>
        <v>1700051.671469707</v>
      </c>
    </row>
    <row r="62" spans="1:5">
      <c r="A62">
        <v>19</v>
      </c>
      <c r="B62" s="61" t="str">
        <f>Scenarios!A5</f>
        <v>Stress</v>
      </c>
      <c r="C62" s="62">
        <f>Market_Value!E62</f>
        <v>12312000</v>
      </c>
      <c r="D62" s="61">
        <f>Assumptions!C24*Scenarios!C5</f>
        <v>7.249245675126674E-2</v>
      </c>
      <c r="E62" s="62">
        <f>VLOOKUP(A62,Base_Value!A:C,3,0)*D62</f>
        <v>1487545.2125359934</v>
      </c>
    </row>
    <row r="63" spans="1:5">
      <c r="A63" s="57">
        <v>20</v>
      </c>
      <c r="B63" s="59" t="str">
        <f>Scenarios!A3</f>
        <v>Base</v>
      </c>
      <c r="C63" s="60">
        <f>Market_Value!E63</f>
        <v>20520000</v>
      </c>
      <c r="D63" s="59">
        <f>Assumptions!C24*Scenarios!C3</f>
        <v>0.10356065250180964</v>
      </c>
      <c r="E63" s="60">
        <f>VLOOKUP(A63,Base_Value!A:C,3,0)*D63</f>
        <v>2125064.5893371338</v>
      </c>
    </row>
    <row r="64" spans="1:5">
      <c r="A64" s="57">
        <v>20</v>
      </c>
      <c r="B64" s="59" t="str">
        <f>Scenarios!A4</f>
        <v>Downside</v>
      </c>
      <c r="C64" s="60">
        <f>Market_Value!E64</f>
        <v>16416000</v>
      </c>
      <c r="D64" s="59">
        <f>Assumptions!C24*Scenarios!C4</f>
        <v>8.2848522001447711E-2</v>
      </c>
      <c r="E64" s="60">
        <f>VLOOKUP(A64,Base_Value!A:C,3,0)*D64</f>
        <v>1700051.671469707</v>
      </c>
    </row>
    <row r="65" spans="1:5">
      <c r="A65" s="57">
        <v>20</v>
      </c>
      <c r="B65" s="59" t="str">
        <f>Scenarios!A5</f>
        <v>Stress</v>
      </c>
      <c r="C65" s="60">
        <f>Market_Value!E65</f>
        <v>12312000</v>
      </c>
      <c r="D65" s="59">
        <f>Assumptions!C24*Scenarios!C5</f>
        <v>7.249245675126674E-2</v>
      </c>
      <c r="E65" s="60">
        <f>VLOOKUP(A65,Base_Value!A:C,3,0)*D65</f>
        <v>1487545.2125359934</v>
      </c>
    </row>
    <row r="66" spans="1:5">
      <c r="A66">
        <v>21</v>
      </c>
      <c r="B66" s="61" t="str">
        <f>Scenarios!A3</f>
        <v>Base</v>
      </c>
      <c r="C66" s="62">
        <f>Market_Value!E66</f>
        <v>20520000</v>
      </c>
      <c r="D66" s="61">
        <f>Assumptions!C24*Scenarios!C3</f>
        <v>0.10356065250180964</v>
      </c>
      <c r="E66" s="62">
        <f>VLOOKUP(A66,Base_Value!A:C,3,0)*D66</f>
        <v>2125064.5893371338</v>
      </c>
    </row>
    <row r="67" spans="1:5">
      <c r="A67">
        <v>21</v>
      </c>
      <c r="B67" s="61" t="str">
        <f>Scenarios!A4</f>
        <v>Downside</v>
      </c>
      <c r="C67" s="62">
        <f>Market_Value!E67</f>
        <v>16416000</v>
      </c>
      <c r="D67" s="61">
        <f>Assumptions!C24*Scenarios!C4</f>
        <v>8.2848522001447711E-2</v>
      </c>
      <c r="E67" s="62">
        <f>VLOOKUP(A67,Base_Value!A:C,3,0)*D67</f>
        <v>1700051.671469707</v>
      </c>
    </row>
    <row r="68" spans="1:5">
      <c r="A68">
        <v>21</v>
      </c>
      <c r="B68" s="61" t="str">
        <f>Scenarios!A5</f>
        <v>Stress</v>
      </c>
      <c r="C68" s="62">
        <f>Market_Value!E68</f>
        <v>12312000</v>
      </c>
      <c r="D68" s="61">
        <f>Assumptions!C24*Scenarios!C5</f>
        <v>7.249245675126674E-2</v>
      </c>
      <c r="E68" s="62">
        <f>VLOOKUP(A68,Base_Value!A:C,3,0)*D68</f>
        <v>1487545.2125359934</v>
      </c>
    </row>
    <row r="69" spans="1:5">
      <c r="A69" s="57">
        <v>22</v>
      </c>
      <c r="B69" s="59" t="str">
        <f>Scenarios!A3</f>
        <v>Base</v>
      </c>
      <c r="C69" s="60">
        <f>Market_Value!E69</f>
        <v>20520000</v>
      </c>
      <c r="D69" s="59">
        <f>Assumptions!C24*Scenarios!C3</f>
        <v>0.10356065250180964</v>
      </c>
      <c r="E69" s="60">
        <f>VLOOKUP(A69,Base_Value!A:C,3,0)*D69</f>
        <v>2125064.5893371338</v>
      </c>
    </row>
    <row r="70" spans="1:5">
      <c r="A70" s="57">
        <v>22</v>
      </c>
      <c r="B70" s="59" t="str">
        <f>Scenarios!A4</f>
        <v>Downside</v>
      </c>
      <c r="C70" s="60">
        <f>Market_Value!E70</f>
        <v>16416000</v>
      </c>
      <c r="D70" s="59">
        <f>Assumptions!C24*Scenarios!C4</f>
        <v>8.2848522001447711E-2</v>
      </c>
      <c r="E70" s="60">
        <f>VLOOKUP(A70,Base_Value!A:C,3,0)*D70</f>
        <v>1700051.671469707</v>
      </c>
    </row>
    <row r="71" spans="1:5">
      <c r="A71" s="57">
        <v>22</v>
      </c>
      <c r="B71" s="59" t="str">
        <f>Scenarios!A5</f>
        <v>Stress</v>
      </c>
      <c r="C71" s="60">
        <f>Market_Value!E71</f>
        <v>12312000</v>
      </c>
      <c r="D71" s="59">
        <f>Assumptions!C24*Scenarios!C5</f>
        <v>7.249245675126674E-2</v>
      </c>
      <c r="E71" s="60">
        <f>VLOOKUP(A71,Base_Value!A:C,3,0)*D71</f>
        <v>1487545.2125359934</v>
      </c>
    </row>
    <row r="72" spans="1:5">
      <c r="A72">
        <v>23</v>
      </c>
      <c r="B72" s="61" t="str">
        <f>Scenarios!A3</f>
        <v>Base</v>
      </c>
      <c r="C72" s="62">
        <f>Market_Value!E72</f>
        <v>20520000</v>
      </c>
      <c r="D72" s="61">
        <f>Assumptions!C24*Scenarios!C3</f>
        <v>0.10356065250180964</v>
      </c>
      <c r="E72" s="62">
        <f>VLOOKUP(A72,Base_Value!A:C,3,0)*D72</f>
        <v>2125064.5893371338</v>
      </c>
    </row>
    <row r="73" spans="1:5">
      <c r="A73">
        <v>23</v>
      </c>
      <c r="B73" s="61" t="str">
        <f>Scenarios!A4</f>
        <v>Downside</v>
      </c>
      <c r="C73" s="62">
        <f>Market_Value!E73</f>
        <v>16416000</v>
      </c>
      <c r="D73" s="61">
        <f>Assumptions!C24*Scenarios!C4</f>
        <v>8.2848522001447711E-2</v>
      </c>
      <c r="E73" s="62">
        <f>VLOOKUP(A73,Base_Value!A:C,3,0)*D73</f>
        <v>1700051.671469707</v>
      </c>
    </row>
    <row r="74" spans="1:5">
      <c r="A74">
        <v>23</v>
      </c>
      <c r="B74" s="61" t="str">
        <f>Scenarios!A5</f>
        <v>Stress</v>
      </c>
      <c r="C74" s="62">
        <f>Market_Value!E74</f>
        <v>12312000</v>
      </c>
      <c r="D74" s="61">
        <f>Assumptions!C24*Scenarios!C5</f>
        <v>7.249245675126674E-2</v>
      </c>
      <c r="E74" s="62">
        <f>VLOOKUP(A74,Base_Value!A:C,3,0)*D74</f>
        <v>1487545.2125359934</v>
      </c>
    </row>
    <row r="75" spans="1:5">
      <c r="A75" s="57">
        <v>24</v>
      </c>
      <c r="B75" s="59" t="str">
        <f>Scenarios!A3</f>
        <v>Base</v>
      </c>
      <c r="C75" s="60">
        <f>Market_Value!E75</f>
        <v>20520000</v>
      </c>
      <c r="D75" s="59">
        <f>Assumptions!C24*Scenarios!C3</f>
        <v>0.10356065250180964</v>
      </c>
      <c r="E75" s="60">
        <f>VLOOKUP(A75,Base_Value!A:C,3,0)*D75</f>
        <v>2125064.5893371338</v>
      </c>
    </row>
    <row r="76" spans="1:5">
      <c r="A76" s="57">
        <v>24</v>
      </c>
      <c r="B76" s="59" t="str">
        <f>Scenarios!A4</f>
        <v>Downside</v>
      </c>
      <c r="C76" s="60">
        <f>Market_Value!E76</f>
        <v>16416000</v>
      </c>
      <c r="D76" s="59">
        <f>Assumptions!C24*Scenarios!C4</f>
        <v>8.2848522001447711E-2</v>
      </c>
      <c r="E76" s="60">
        <f>VLOOKUP(A76,Base_Value!A:C,3,0)*D76</f>
        <v>1700051.671469707</v>
      </c>
    </row>
    <row r="77" spans="1:5">
      <c r="A77" s="57">
        <v>24</v>
      </c>
      <c r="B77" s="59" t="str">
        <f>Scenarios!A5</f>
        <v>Stress</v>
      </c>
      <c r="C77" s="60">
        <f>Market_Value!E77</f>
        <v>12312000</v>
      </c>
      <c r="D77" s="59">
        <f>Assumptions!C24*Scenarios!C5</f>
        <v>7.249245675126674E-2</v>
      </c>
      <c r="E77" s="60">
        <f>VLOOKUP(A77,Base_Value!A:C,3,0)*D77</f>
        <v>1487545.2125359934</v>
      </c>
    </row>
    <row r="78" spans="1:5">
      <c r="A78">
        <v>25</v>
      </c>
      <c r="B78" s="61" t="str">
        <f>Scenarios!A3</f>
        <v>Base</v>
      </c>
      <c r="C78" s="62">
        <f>Market_Value!E78</f>
        <v>20520000</v>
      </c>
      <c r="D78" s="61">
        <f>Assumptions!C24*Scenarios!C3</f>
        <v>0.10356065250180964</v>
      </c>
      <c r="E78" s="62">
        <f>VLOOKUP(A78,Base_Value!A:C,3,0)*D78</f>
        <v>2125064.5893371338</v>
      </c>
    </row>
    <row r="79" spans="1:5">
      <c r="A79">
        <v>25</v>
      </c>
      <c r="B79" s="61" t="str">
        <f>Scenarios!A4</f>
        <v>Downside</v>
      </c>
      <c r="C79" s="62">
        <f>Market_Value!E79</f>
        <v>16416000</v>
      </c>
      <c r="D79" s="61">
        <f>Assumptions!C24*Scenarios!C4</f>
        <v>8.2848522001447711E-2</v>
      </c>
      <c r="E79" s="62">
        <f>VLOOKUP(A79,Base_Value!A:C,3,0)*D79</f>
        <v>1700051.671469707</v>
      </c>
    </row>
    <row r="80" spans="1:5">
      <c r="A80">
        <v>25</v>
      </c>
      <c r="B80" s="61" t="str">
        <f>Scenarios!A5</f>
        <v>Stress</v>
      </c>
      <c r="C80" s="62">
        <f>Market_Value!E80</f>
        <v>12312000</v>
      </c>
      <c r="D80" s="61">
        <f>Assumptions!C24*Scenarios!C5</f>
        <v>7.249245675126674E-2</v>
      </c>
      <c r="E80" s="62">
        <f>VLOOKUP(A80,Base_Value!A:C,3,0)*D80</f>
        <v>1487545.2125359934</v>
      </c>
    </row>
  </sheetData>
  <mergeCells count="1">
    <mergeCell ref="A1:E1"/>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1:T47"/>
  <sheetViews>
    <sheetView showGridLines="0" zoomScale="104" workbookViewId="0">
      <pane ySplit="2" topLeftCell="A8" activePane="bottomLeft" state="frozen"/>
      <selection activeCell="C10" sqref="C10"/>
      <selection pane="bottomLeft" activeCell="D5" sqref="D5"/>
    </sheetView>
  </sheetViews>
  <sheetFormatPr defaultColWidth="8.85546875" defaultRowHeight="15"/>
  <cols>
    <col min="1" max="1" width="5.140625" bestFit="1" customWidth="1"/>
    <col min="2" max="2" width="31.42578125" customWidth="1"/>
    <col min="3" max="7" width="21" customWidth="1"/>
    <col min="8" max="8" width="21" style="7" customWidth="1"/>
    <col min="9" max="9" width="12.7109375" bestFit="1" customWidth="1"/>
    <col min="10" max="10" width="15.42578125" bestFit="1" customWidth="1"/>
    <col min="12" max="12" width="15.42578125" bestFit="1" customWidth="1"/>
    <col min="13" max="13" width="16" bestFit="1" customWidth="1"/>
    <col min="18" max="18" width="19.42578125" bestFit="1" customWidth="1"/>
  </cols>
  <sheetData>
    <row r="1" spans="1:20" ht="18.95" customHeight="1">
      <c r="A1" s="118" t="s">
        <v>89</v>
      </c>
      <c r="B1" s="111"/>
      <c r="C1" s="111"/>
      <c r="D1" s="111"/>
      <c r="E1" s="111"/>
      <c r="F1" s="111"/>
      <c r="G1" s="111"/>
      <c r="H1" s="121"/>
    </row>
    <row r="2" spans="1:20" ht="31.7" customHeight="1">
      <c r="A2" s="34" t="s">
        <v>73</v>
      </c>
      <c r="B2" s="34" t="s">
        <v>51</v>
      </c>
      <c r="C2" s="34" t="s">
        <v>88</v>
      </c>
      <c r="D2" s="34" t="s">
        <v>90</v>
      </c>
      <c r="E2" s="34" t="s">
        <v>91</v>
      </c>
      <c r="F2" s="34" t="s">
        <v>195</v>
      </c>
      <c r="G2" s="34" t="s">
        <v>92</v>
      </c>
      <c r="H2" s="35" t="s">
        <v>93</v>
      </c>
    </row>
    <row r="3" spans="1:20" ht="15.95" customHeight="1">
      <c r="A3" s="63"/>
      <c r="B3" s="63"/>
      <c r="C3" s="63"/>
      <c r="D3" s="63"/>
      <c r="E3" s="63"/>
      <c r="F3" s="63"/>
      <c r="G3" s="63"/>
      <c r="H3" s="64"/>
    </row>
    <row r="4" spans="1:20">
      <c r="A4">
        <v>0</v>
      </c>
      <c r="B4" t="str">
        <f>Scenarios!A3</f>
        <v>Base</v>
      </c>
      <c r="C4" s="7">
        <f>IF(A4=0,0,VLOOKUP(A4,Base_Value!$B$1:$C$27,2,0)*Assumptions!$C$24)</f>
        <v>0</v>
      </c>
      <c r="D4">
        <f>IF(A4=0,0,Assumptions!$C$26*Assumptions!$C$27)</f>
        <v>0</v>
      </c>
      <c r="E4" s="7">
        <v>0</v>
      </c>
      <c r="F4" s="7">
        <f>IF(OR(A4=0,A4=1),0,(VLOOKUP($A$4,Base_Value!$B$1:$C$27,2,0)-VLOOKUP($A$16,Base_Value!$B$1:$C$27,2,0))/12)</f>
        <v>0</v>
      </c>
      <c r="G4" s="7">
        <f>-Base_Value!$C$2</f>
        <v>-45600000</v>
      </c>
      <c r="H4" s="7">
        <f t="shared" ref="H4:H15" si="0">SUM(C4:G4)</f>
        <v>-45600000</v>
      </c>
    </row>
    <row r="5" spans="1:20">
      <c r="A5">
        <v>1</v>
      </c>
      <c r="B5" t="str">
        <f>Scenarios!A3</f>
        <v>Base</v>
      </c>
      <c r="C5" s="7">
        <f>IF(A5=0,0,VLOOKUP(A5-1,Base_Value!$B$1:$C$27,2,0)*Assumptions!$C$24)</f>
        <v>4722365.7540825196</v>
      </c>
      <c r="D5">
        <f>IF(A5=0,0,Assumptions!$C$26*Assumptions!$C$27)</f>
        <v>15000</v>
      </c>
      <c r="E5" s="7">
        <v>0</v>
      </c>
      <c r="F5" s="7">
        <f>IF(OR(A5=0,A5=1),0,(VLOOKUP($A$4,Base_Value!$B$1:$C$27,2,0)-VLOOKUP($A$16,Base_Value!$B$1:$C$27,2,0))/12)</f>
        <v>0</v>
      </c>
      <c r="G5" s="7"/>
      <c r="H5" s="7">
        <f t="shared" si="0"/>
        <v>4737365.7540825196</v>
      </c>
      <c r="R5" s="43" t="s">
        <v>57</v>
      </c>
      <c r="S5" s="41">
        <f>NPV(Assumptions!$C$34,Cashflow!$C$5:$C$16)+Cashflow!$E$16/(1+Assumptions!$C$34)^12-Assumptions!$C$7</f>
        <v>-14422593.861997597</v>
      </c>
      <c r="T5" s="74">
        <f>IRR(Cashflow!$H$4:$H$16)</f>
        <v>7.2971751955550834E-2</v>
      </c>
    </row>
    <row r="6" spans="1:20">
      <c r="A6">
        <v>2</v>
      </c>
      <c r="B6" t="str">
        <f>Scenarios!A3</f>
        <v>Base</v>
      </c>
      <c r="C6" s="7">
        <f>IF(A6=0,0,VLOOKUP(A6-1,Base_Value!$B$1:$C$27,2,0)*Assumptions!$C$24)</f>
        <v>4014010.8909701416</v>
      </c>
      <c r="D6">
        <f>IF(A6=0,0,Assumptions!$C$26*Assumptions!$C$27)</f>
        <v>15000</v>
      </c>
      <c r="E6" s="7">
        <v>0</v>
      </c>
      <c r="F6" s="7">
        <f>IF(OR(A6=0,A6=1),0,(VLOOKUP($A$4,Base_Value!$B$1:$C$27,2,0)-VLOOKUP($A$16,Base_Value!$B$1:$C$27,2,0))/12)</f>
        <v>2090000</v>
      </c>
      <c r="G6" s="7"/>
      <c r="H6" s="7">
        <f t="shared" si="0"/>
        <v>6119010.8909701416</v>
      </c>
    </row>
    <row r="7" spans="1:20">
      <c r="A7">
        <v>3</v>
      </c>
      <c r="B7" t="str">
        <f>Scenarios!A3</f>
        <v>Base</v>
      </c>
      <c r="C7" s="7">
        <f>IF(A7=0,0,VLOOKUP(A7-1,Base_Value!$B$1:$C$27,2,0)*Assumptions!$C$24)</f>
        <v>3411909.2573246202</v>
      </c>
      <c r="D7">
        <f>IF(A7=0,0,Assumptions!$C$26*Assumptions!$C$27)</f>
        <v>15000</v>
      </c>
      <c r="E7" s="7">
        <v>0</v>
      </c>
      <c r="F7" s="7">
        <f>IF(OR(A7=0,A7=1),0,(VLOOKUP($A$4,Base_Value!$B$1:$C$27,2,0)-VLOOKUP($A$16,Base_Value!$B$1:$C$27,2,0))/12)</f>
        <v>2090000</v>
      </c>
      <c r="G7" s="7"/>
      <c r="H7" s="7">
        <f t="shared" si="0"/>
        <v>5516909.2573246202</v>
      </c>
    </row>
    <row r="8" spans="1:20">
      <c r="A8">
        <v>4</v>
      </c>
      <c r="B8" t="str">
        <f>Scenarios!A3</f>
        <v>Base</v>
      </c>
      <c r="C8" s="7">
        <f>IF(A8=0,0,VLOOKUP(A8-1,Base_Value!$B$1:$C$27,2,0)*Assumptions!$C$24)</f>
        <v>2900122.8687259271</v>
      </c>
      <c r="D8">
        <f>IF(A8=0,0,Assumptions!$C$26*Assumptions!$C$27)</f>
        <v>15000</v>
      </c>
      <c r="E8" s="7">
        <v>0</v>
      </c>
      <c r="F8" s="7">
        <f>IF(OR(A8=0,A8=1),0,(VLOOKUP($A$4,Base_Value!$B$1:$C$27,2,0)-VLOOKUP($A$16,Base_Value!$B$1:$C$27,2,0))/12)</f>
        <v>2090000</v>
      </c>
      <c r="G8" s="7"/>
      <c r="H8" s="7">
        <f t="shared" si="0"/>
        <v>5005122.8687259275</v>
      </c>
    </row>
    <row r="9" spans="1:20">
      <c r="A9">
        <v>5</v>
      </c>
      <c r="B9" t="str">
        <f>Scenarios!A3</f>
        <v>Base</v>
      </c>
      <c r="C9" s="7">
        <f>IF(A9=0,0,VLOOKUP(A9-1,Base_Value!$B$1:$C$27,2,0)*Assumptions!$C$24)</f>
        <v>2465104.4384170379</v>
      </c>
      <c r="D9">
        <f>IF(A9=0,0,Assumptions!$C$26*Assumptions!$C$27)</f>
        <v>15000</v>
      </c>
      <c r="E9" s="7">
        <v>0</v>
      </c>
      <c r="F9" s="7">
        <f>IF(OR(A9=0,A9=1),0,(VLOOKUP($A$4,Base_Value!$B$1:$C$27,2,0)-VLOOKUP($A$16,Base_Value!$B$1:$C$27,2,0))/12)</f>
        <v>2090000</v>
      </c>
      <c r="G9" s="7"/>
      <c r="H9" s="7">
        <f t="shared" si="0"/>
        <v>4570104.4384170379</v>
      </c>
      <c r="J9" s="82"/>
      <c r="R9" s="17" t="s">
        <v>62</v>
      </c>
      <c r="S9" s="17" t="s">
        <v>57</v>
      </c>
    </row>
    <row r="10" spans="1:20">
      <c r="A10">
        <v>6</v>
      </c>
      <c r="B10" t="str">
        <f>Scenarios!A3</f>
        <v>Base</v>
      </c>
      <c r="C10" s="7">
        <f>IF(A10=0,0,VLOOKUP(A10-1,Base_Value!$B$1:$C$27,2,0)*Assumptions!$C$24)</f>
        <v>2125064.5893371338</v>
      </c>
      <c r="D10">
        <f>IF(A10=0,0,Assumptions!$C$26*Assumptions!$C$27)</f>
        <v>15000</v>
      </c>
      <c r="E10" s="7">
        <v>0</v>
      </c>
      <c r="F10" s="7">
        <f>IF(OR(A10=0,A10=1),0,(VLOOKUP($A$4,Base_Value!$B$1:$C$27,2,0)-VLOOKUP($A$16,Base_Value!$B$1:$C$27,2,0))/12)</f>
        <v>2090000</v>
      </c>
      <c r="G10" s="7"/>
      <c r="H10" s="7">
        <f t="shared" si="0"/>
        <v>4230064.5893371338</v>
      </c>
      <c r="J10" s="72"/>
      <c r="R10" s="83" t="s">
        <v>17</v>
      </c>
      <c r="S10" s="84">
        <f>Assumptions!$C$24</f>
        <v>0.10356065250180964</v>
      </c>
    </row>
    <row r="11" spans="1:20">
      <c r="A11">
        <v>7</v>
      </c>
      <c r="B11" t="str">
        <f>Scenarios!A3</f>
        <v>Base</v>
      </c>
      <c r="C11" s="7">
        <f>IF(A11=0,0,VLOOKUP(A11-1,Base_Value!$B$1:$C$27,2,0)*Assumptions!$C$24)</f>
        <v>2125064.5893371338</v>
      </c>
      <c r="D11">
        <f>IF(A11=0,0,Assumptions!$C$26*Assumptions!$C$27)</f>
        <v>15000</v>
      </c>
      <c r="E11" s="7">
        <v>0</v>
      </c>
      <c r="F11" s="7">
        <f>IF(OR(A11=0,A11=1),0,(VLOOKUP($A$4,Base_Value!$B$1:$C$27,2,0)-VLOOKUP($A$16,Base_Value!$B$1:$C$27,2,0))/12)</f>
        <v>2090000</v>
      </c>
      <c r="G11" s="7"/>
      <c r="H11" s="7">
        <f t="shared" si="0"/>
        <v>4230064.5893371338</v>
      </c>
      <c r="J11" s="72"/>
      <c r="R11" s="3" t="s">
        <v>63</v>
      </c>
      <c r="S11" s="7">
        <f>Base_Value!$H$2</f>
        <v>45600000</v>
      </c>
    </row>
    <row r="12" spans="1:20">
      <c r="A12">
        <v>8</v>
      </c>
      <c r="B12" t="str">
        <f>Scenarios!A3</f>
        <v>Base</v>
      </c>
      <c r="C12" s="7">
        <f>IF(A12=0,0,VLOOKUP(A12-1,Base_Value!$B$1:$C$27,2,0)*Assumptions!$C$24)</f>
        <v>2125064.5893371338</v>
      </c>
      <c r="D12">
        <f>IF(A12=0,0,Assumptions!$C$26*Assumptions!$C$27)</f>
        <v>15000</v>
      </c>
      <c r="E12" s="7">
        <v>0</v>
      </c>
      <c r="F12" s="7">
        <f>IF(OR(A12=0,A12=1),0,(VLOOKUP($A$4,Base_Value!$B$1:$C$27,2,0)-VLOOKUP($A$16,Base_Value!$B$1:$C$27,2,0))/12)</f>
        <v>2090000</v>
      </c>
      <c r="G12" s="7"/>
      <c r="H12" s="7">
        <f t="shared" si="0"/>
        <v>4230064.5893371338</v>
      </c>
      <c r="J12" s="72"/>
      <c r="R12" s="3" t="s">
        <v>64</v>
      </c>
      <c r="S12" s="7">
        <f>Market_Value!$E$3</f>
        <v>45600000</v>
      </c>
    </row>
    <row r="13" spans="1:20">
      <c r="A13">
        <v>9</v>
      </c>
      <c r="B13" t="str">
        <f>Scenarios!A3</f>
        <v>Base</v>
      </c>
      <c r="C13" s="7">
        <f>IF(A13=0,0,VLOOKUP(A13-1,Base_Value!$B$1:$C$27,2,0)*Assumptions!$C$24)</f>
        <v>2125064.5893371338</v>
      </c>
      <c r="D13">
        <f>IF(A13=0,0,Assumptions!$C$26*Assumptions!$C$27)</f>
        <v>15000</v>
      </c>
      <c r="E13" s="7">
        <v>0</v>
      </c>
      <c r="F13" s="7">
        <f>IF(OR(A13=0,A13=1),0,(VLOOKUP($A$4,Base_Value!$B$1:$C$27,2,0)-VLOOKUP($A$16,Base_Value!$B$1:$C$27,2,0))/12)</f>
        <v>2090000</v>
      </c>
      <c r="G13" s="7"/>
      <c r="H13" s="7">
        <f t="shared" si="0"/>
        <v>4230064.5893371338</v>
      </c>
      <c r="J13" s="72"/>
      <c r="R13" s="3" t="s">
        <v>65</v>
      </c>
      <c r="S13" s="7">
        <f>'LRF-Model'!$E$3</f>
        <v>4722365.7540825196</v>
      </c>
    </row>
    <row r="14" spans="1:20">
      <c r="A14">
        <v>10</v>
      </c>
      <c r="B14" t="str">
        <f>Scenarios!A3</f>
        <v>Base</v>
      </c>
      <c r="C14" s="7">
        <f>IF(A14=0,0,VLOOKUP(A14-1,Base_Value!$B$1:$C$27,2,0)*Assumptions!$C$24)</f>
        <v>2125064.5893371338</v>
      </c>
      <c r="D14">
        <f>IF(A14=0,0,Assumptions!$C$26*Assumptions!$C$27)</f>
        <v>15000</v>
      </c>
      <c r="E14" s="7">
        <v>0</v>
      </c>
      <c r="F14" s="7">
        <f>IF(OR(A14=0,A14=1),0,(VLOOKUP($A$4,Base_Value!$B$1:$C$27,2,0)-VLOOKUP($A$16,Base_Value!$B$1:$C$27,2,0))/12)</f>
        <v>2090000</v>
      </c>
      <c r="G14" s="7"/>
      <c r="H14" s="7">
        <f t="shared" si="0"/>
        <v>4230064.5893371338</v>
      </c>
      <c r="J14" s="72"/>
      <c r="R14" s="3" t="s">
        <v>66</v>
      </c>
      <c r="S14" s="7">
        <f>Cashflow!$E$16</f>
        <v>19904400</v>
      </c>
    </row>
    <row r="15" spans="1:20">
      <c r="A15">
        <v>11</v>
      </c>
      <c r="B15" t="str">
        <f>Scenarios!A3</f>
        <v>Base</v>
      </c>
      <c r="C15" s="7">
        <f>IF(A15=0,0,VLOOKUP(A15-1,Base_Value!$B$1:$C$27,2,0)*Assumptions!$C$24)</f>
        <v>2125064.5893371338</v>
      </c>
      <c r="D15">
        <f>IF(A15=0,0,Assumptions!$C$26*Assumptions!$C$27)</f>
        <v>15000</v>
      </c>
      <c r="E15" s="7">
        <v>0</v>
      </c>
      <c r="F15" s="7">
        <f>IF(OR(A15=0,A15=1),0,(VLOOKUP($A$4,Base_Value!$B$1:$C$27,2,0)-VLOOKUP($A$16,Base_Value!$B$1:$C$27,2,0))/12)</f>
        <v>2090000</v>
      </c>
      <c r="G15" s="7"/>
      <c r="H15" s="7">
        <f t="shared" si="0"/>
        <v>4230064.5893371338</v>
      </c>
      <c r="R15" s="3" t="s">
        <v>67</v>
      </c>
      <c r="S15" s="7">
        <f>DCF!$B$3</f>
        <v>7841.2190730199218</v>
      </c>
    </row>
    <row r="16" spans="1:20">
      <c r="A16">
        <v>12</v>
      </c>
      <c r="B16" t="str">
        <f>Scenarios!A3</f>
        <v>Base</v>
      </c>
      <c r="C16" s="7">
        <f>IF(A16=0,0,VLOOKUP(A16-1,Base_Value!$B$1:$C$27,2,0)*Assumptions!$C$24)</f>
        <v>2125064.5893371338</v>
      </c>
      <c r="D16">
        <f>IF(A16=0,0,Assumptions!$C$26*Assumptions!$C$27)</f>
        <v>15000</v>
      </c>
      <c r="E16" s="7">
        <f>Assumptions!$C$11</f>
        <v>19904400</v>
      </c>
      <c r="F16" s="7">
        <f>IF(OR(A16=0,A16=1),0,(VLOOKUP($A$4,Base_Value!$B$1:$C$27,2,0)-VLOOKUP($A$16,Base_Value!$B$1:$C$27,2,0))/12)</f>
        <v>2090000</v>
      </c>
      <c r="G16" s="7"/>
      <c r="H16" s="7">
        <f t="shared" ref="H16" si="1">SUM(C16:G16)</f>
        <v>24134464.589337133</v>
      </c>
      <c r="I16" s="76"/>
      <c r="J16" s="76"/>
      <c r="L16" s="76"/>
      <c r="M16" s="76"/>
      <c r="R16" s="3" t="s">
        <v>68</v>
      </c>
      <c r="S16" s="16">
        <f>DCF!$C$3</f>
        <v>7.2971751955550834E-2</v>
      </c>
    </row>
    <row r="17" spans="1:19" ht="15.95" customHeight="1">
      <c r="A17" s="30"/>
      <c r="B17" s="30" t="s">
        <v>94</v>
      </c>
      <c r="C17" s="31">
        <f>SUM(C4:C16)</f>
        <v>32388965.334880177</v>
      </c>
      <c r="D17" s="31">
        <f>SUM(D4:D16)</f>
        <v>180000</v>
      </c>
      <c r="E17" s="31">
        <f>SUM(E4:E16)</f>
        <v>19904400</v>
      </c>
      <c r="F17" s="31">
        <f>SUM(F4:F16)</f>
        <v>22990000</v>
      </c>
      <c r="G17" s="31"/>
      <c r="H17" s="31">
        <f>SUM(H4:H16)</f>
        <v>29863365.334880177</v>
      </c>
      <c r="I17" s="7"/>
      <c r="R17" s="3" t="s">
        <v>54</v>
      </c>
      <c r="S17" s="16">
        <f>WACC!$B$8</f>
        <v>7.2525000000000006E-2</v>
      </c>
    </row>
    <row r="18" spans="1:19" ht="15.95" customHeight="1">
      <c r="A18" s="32"/>
      <c r="B18" s="32"/>
      <c r="C18" s="33"/>
      <c r="D18" s="33"/>
      <c r="E18" s="33"/>
      <c r="F18" s="33"/>
      <c r="G18" s="33"/>
      <c r="H18" s="33"/>
    </row>
    <row r="19" spans="1:19">
      <c r="A19">
        <v>0</v>
      </c>
      <c r="B19" t="str">
        <f>Scenarios!A4</f>
        <v>Downside</v>
      </c>
      <c r="C19" s="7">
        <f>IF(A19=0,0,VLOOKUP(A19,Base_Value!$B$1:$C$27,2,0)*Assumptions!$C$24*Scenarios!$C$4)</f>
        <v>0</v>
      </c>
      <c r="D19">
        <f>IF(A19=0,0,Assumptions!$C$26*Assumptions!$C$27)</f>
        <v>0</v>
      </c>
      <c r="E19" s="7">
        <v>0</v>
      </c>
      <c r="F19" s="7">
        <f>IF(OR(A19=0,A19=1),0,(VLOOKUP($A$19,Base_Value!$B$1:$C$27,2,0)-VLOOKUP($A$31,Base_Value!$B$1:$C$27,2,0))/12)</f>
        <v>0</v>
      </c>
      <c r="G19" s="7">
        <f>-Base_Value!$C$2</f>
        <v>-45600000</v>
      </c>
      <c r="H19" s="7">
        <f t="shared" ref="H19:H31" si="2">SUM(C19:G19)</f>
        <v>-45600000</v>
      </c>
    </row>
    <row r="20" spans="1:19">
      <c r="A20">
        <v>1</v>
      </c>
      <c r="B20" t="str">
        <f>Scenarios!A4</f>
        <v>Downside</v>
      </c>
      <c r="C20" s="7">
        <f>IF(A20=0,0,VLOOKUP(A20,Base_Value!$B$1:$C$27,2,0)*Assumptions!$C$24*Scenarios!$C$4)</f>
        <v>3211208.7127761133</v>
      </c>
      <c r="D20">
        <f>IF(A20=0,0,Assumptions!$C$26*Assumptions!$C$27)</f>
        <v>15000</v>
      </c>
      <c r="E20" s="7">
        <v>0</v>
      </c>
      <c r="F20" s="7">
        <f>IF(OR(A20=0,A20=1),0,(VLOOKUP($A$19,Base_Value!$B$1:$C$27,2,0)-VLOOKUP($A$31,Base_Value!$B$1:$C$27,2,0))/12)</f>
        <v>0</v>
      </c>
      <c r="G20" s="7"/>
      <c r="H20" s="7">
        <f t="shared" si="2"/>
        <v>3226208.7127761133</v>
      </c>
    </row>
    <row r="21" spans="1:19">
      <c r="A21">
        <v>2</v>
      </c>
      <c r="B21" t="str">
        <f>Scenarios!A4</f>
        <v>Downside</v>
      </c>
      <c r="C21" s="7">
        <f>IF(A21=0,0,VLOOKUP(A21,Base_Value!$B$1:$C$27,2,0)*Assumptions!$C$24*Scenarios!$C$4)</f>
        <v>2729527.4058596962</v>
      </c>
      <c r="D21">
        <f>IF(A21=0,0,Assumptions!$C$26*Assumptions!$C$27)</f>
        <v>15000</v>
      </c>
      <c r="E21" s="7">
        <v>0</v>
      </c>
      <c r="F21" s="7">
        <f>IF(OR(A21=0,A21=1),0,(VLOOKUP($A$19,Base_Value!$B$1:$C$27,2,0)-VLOOKUP($A$31,Base_Value!$B$1:$C$27,2,0))/12)</f>
        <v>2090000</v>
      </c>
      <c r="G21" s="7"/>
      <c r="H21" s="7">
        <f t="shared" si="2"/>
        <v>4834527.4058596957</v>
      </c>
    </row>
    <row r="22" spans="1:19">
      <c r="A22">
        <v>3</v>
      </c>
      <c r="B22" t="str">
        <f>Scenarios!A4</f>
        <v>Downside</v>
      </c>
      <c r="C22" s="7">
        <f>IF(A22=0,0,VLOOKUP(A22,Base_Value!$B$1:$C$27,2,0)*Assumptions!$C$24*Scenarios!$C$4)</f>
        <v>2320098.2949807416</v>
      </c>
      <c r="D22">
        <f>IF(A22=0,0,Assumptions!$C$26*Assumptions!$C$27)</f>
        <v>15000</v>
      </c>
      <c r="E22" s="7">
        <v>0</v>
      </c>
      <c r="F22" s="7">
        <f>IF(OR(A22=0,A22=1),0,(VLOOKUP($A$19,Base_Value!$B$1:$C$27,2,0)-VLOOKUP($A$31,Base_Value!$B$1:$C$27,2,0))/12)</f>
        <v>2090000</v>
      </c>
      <c r="G22" s="7"/>
      <c r="H22" s="7">
        <f t="shared" si="2"/>
        <v>4425098.294980742</v>
      </c>
    </row>
    <row r="23" spans="1:19">
      <c r="A23">
        <v>4</v>
      </c>
      <c r="B23" t="str">
        <f>Scenarios!A4</f>
        <v>Downside</v>
      </c>
      <c r="C23" s="7">
        <f>IF(A23=0,0,VLOOKUP(A23,Base_Value!$B$1:$C$27,2,0)*Assumptions!$C$24*Scenarios!$C$4)</f>
        <v>1972083.5507336305</v>
      </c>
      <c r="D23">
        <f>IF(A23=0,0,Assumptions!$C$26*Assumptions!$C$27)</f>
        <v>15000</v>
      </c>
      <c r="E23" s="7">
        <v>0</v>
      </c>
      <c r="F23" s="7">
        <f>IF(OR(A23=0,A23=1),0,(VLOOKUP($A$19,Base_Value!$B$1:$C$27,2,0)-VLOOKUP($A$31,Base_Value!$B$1:$C$27,2,0))/12)</f>
        <v>2090000</v>
      </c>
      <c r="G23" s="7"/>
      <c r="H23" s="7">
        <f t="shared" si="2"/>
        <v>4077083.5507336305</v>
      </c>
    </row>
    <row r="24" spans="1:19">
      <c r="A24">
        <v>5</v>
      </c>
      <c r="B24" t="str">
        <f>Scenarios!A4</f>
        <v>Downside</v>
      </c>
      <c r="C24" s="7">
        <f>IF(A24=0,0,VLOOKUP(A24,Base_Value!$B$1:$C$27,2,0)*Assumptions!$C$24*Scenarios!$C$4)</f>
        <v>1700051.671469707</v>
      </c>
      <c r="D24">
        <f>IF(A24=0,0,Assumptions!$C$26*Assumptions!$C$27)</f>
        <v>15000</v>
      </c>
      <c r="E24" s="7">
        <v>0</v>
      </c>
      <c r="F24" s="7">
        <f>IF(OR(A24=0,A24=1),0,(VLOOKUP($A$19,Base_Value!$B$1:$C$27,2,0)-VLOOKUP($A$31,Base_Value!$B$1:$C$27,2,0))/12)</f>
        <v>2090000</v>
      </c>
      <c r="G24" s="7"/>
      <c r="H24" s="7">
        <f t="shared" si="2"/>
        <v>3805051.671469707</v>
      </c>
    </row>
    <row r="25" spans="1:19">
      <c r="A25">
        <v>6</v>
      </c>
      <c r="B25" t="str">
        <f>Scenarios!A4</f>
        <v>Downside</v>
      </c>
      <c r="C25" s="7">
        <f>IF(A25=0,0,VLOOKUP(A25,Base_Value!$B$1:$C$27,2,0)*Assumptions!$C$24*Scenarios!$C$4)</f>
        <v>1700051.671469707</v>
      </c>
      <c r="D25">
        <f>IF(A25=0,0,Assumptions!$C$26*Assumptions!$C$27)</f>
        <v>15000</v>
      </c>
      <c r="E25" s="7">
        <v>0</v>
      </c>
      <c r="F25" s="7">
        <f>IF(OR(A25=0,A25=1),0,(VLOOKUP($A$19,Base_Value!$B$1:$C$27,2,0)-VLOOKUP($A$31,Base_Value!$B$1:$C$27,2,0))/12)</f>
        <v>2090000</v>
      </c>
      <c r="G25" s="7"/>
      <c r="H25" s="7">
        <f t="shared" si="2"/>
        <v>3805051.671469707</v>
      </c>
    </row>
    <row r="26" spans="1:19">
      <c r="A26">
        <v>7</v>
      </c>
      <c r="B26" t="str">
        <f>Scenarios!A4</f>
        <v>Downside</v>
      </c>
      <c r="C26" s="7">
        <f>IF(A26=0,0,VLOOKUP(A26,Base_Value!$B$1:$C$27,2,0)*Assumptions!$C$24*Scenarios!$C$4)</f>
        <v>1700051.671469707</v>
      </c>
      <c r="D26">
        <f>IF(A26=0,0,Assumptions!$C$26*Assumptions!$C$27)</f>
        <v>15000</v>
      </c>
      <c r="E26" s="7">
        <v>0</v>
      </c>
      <c r="F26" s="7">
        <f>IF(OR(A26=0,A26=1),0,(VLOOKUP($A$19,Base_Value!$B$1:$C$27,2,0)-VLOOKUP($A$31,Base_Value!$B$1:$C$27,2,0))/12)</f>
        <v>2090000</v>
      </c>
      <c r="G26" s="7"/>
      <c r="H26" s="7">
        <f t="shared" si="2"/>
        <v>3805051.671469707</v>
      </c>
    </row>
    <row r="27" spans="1:19">
      <c r="A27">
        <v>8</v>
      </c>
      <c r="B27" t="str">
        <f>Scenarios!A4</f>
        <v>Downside</v>
      </c>
      <c r="C27" s="7">
        <f>IF(A27=0,0,VLOOKUP(A27,Base_Value!$B$1:$C$27,2,0)*Assumptions!$C$24*Scenarios!$C$4)</f>
        <v>1700051.671469707</v>
      </c>
      <c r="D27">
        <f>IF(A27=0,0,Assumptions!$C$26*Assumptions!$C$27)</f>
        <v>15000</v>
      </c>
      <c r="E27" s="7">
        <v>0</v>
      </c>
      <c r="F27" s="7">
        <f>IF(OR(A27=0,A27=1),0,(VLOOKUP($A$19,Base_Value!$B$1:$C$27,2,0)-VLOOKUP($A$31,Base_Value!$B$1:$C$27,2,0))/12)</f>
        <v>2090000</v>
      </c>
      <c r="G27" s="7"/>
      <c r="H27" s="7">
        <f t="shared" si="2"/>
        <v>3805051.671469707</v>
      </c>
    </row>
    <row r="28" spans="1:19">
      <c r="A28">
        <v>9</v>
      </c>
      <c r="B28" t="str">
        <f>Scenarios!A4</f>
        <v>Downside</v>
      </c>
      <c r="C28" s="7">
        <f>IF(A28=0,0,VLOOKUP(A28,Base_Value!$B$1:$C$27,2,0)*Assumptions!$C$24*Scenarios!$C$4)</f>
        <v>1700051.671469707</v>
      </c>
      <c r="D28">
        <f>IF(A28=0,0,Assumptions!$C$26*Assumptions!$C$27)</f>
        <v>15000</v>
      </c>
      <c r="E28" s="7">
        <v>0</v>
      </c>
      <c r="F28" s="7">
        <f>IF(OR(A28=0,A28=1),0,(VLOOKUP($A$19,Base_Value!$B$1:$C$27,2,0)-VLOOKUP($A$31,Base_Value!$B$1:$C$27,2,0))/12)</f>
        <v>2090000</v>
      </c>
      <c r="G28" s="7"/>
      <c r="H28" s="7">
        <f t="shared" si="2"/>
        <v>3805051.671469707</v>
      </c>
    </row>
    <row r="29" spans="1:19">
      <c r="A29">
        <v>10</v>
      </c>
      <c r="B29" t="str">
        <f>Scenarios!A4</f>
        <v>Downside</v>
      </c>
      <c r="C29" s="7">
        <f>IF(A29=0,0,VLOOKUP(A29,Base_Value!$B$1:$C$27,2,0)*Assumptions!$C$24*Scenarios!$C$4)</f>
        <v>1700051.671469707</v>
      </c>
      <c r="D29">
        <f>IF(A29=0,0,Assumptions!$C$26*Assumptions!$C$27)</f>
        <v>15000</v>
      </c>
      <c r="E29" s="7">
        <v>0</v>
      </c>
      <c r="F29" s="7">
        <f>IF(OR(A29=0,A29=1),0,(VLOOKUP($A$19,Base_Value!$B$1:$C$27,2,0)-VLOOKUP($A$31,Base_Value!$B$1:$C$27,2,0))/12)</f>
        <v>2090000</v>
      </c>
      <c r="G29" s="7"/>
      <c r="H29" s="7">
        <f t="shared" si="2"/>
        <v>3805051.671469707</v>
      </c>
    </row>
    <row r="30" spans="1:19">
      <c r="A30">
        <v>11</v>
      </c>
      <c r="B30" t="str">
        <f>Scenarios!A4</f>
        <v>Downside</v>
      </c>
      <c r="C30" s="7">
        <f>IF(A30=0,0,VLOOKUP(A30,Base_Value!$B$1:$C$27,2,0)*Assumptions!$C$24*Scenarios!$C$4)</f>
        <v>1700051.671469707</v>
      </c>
      <c r="D30">
        <f>IF(A30=0,0,Assumptions!$C$26*Assumptions!$C$27)</f>
        <v>15000</v>
      </c>
      <c r="E30" s="7">
        <v>0</v>
      </c>
      <c r="F30" s="7">
        <f>IF(OR(A30=0,A30=1),0,(VLOOKUP($A$19,Base_Value!$B$1:$C$27,2,0)-VLOOKUP($A$31,Base_Value!$B$1:$C$27,2,0))/12)</f>
        <v>2090000</v>
      </c>
      <c r="G30" s="7"/>
      <c r="H30" s="7">
        <f t="shared" si="2"/>
        <v>3805051.671469707</v>
      </c>
    </row>
    <row r="31" spans="1:19">
      <c r="A31">
        <v>12</v>
      </c>
      <c r="B31" t="str">
        <f>Scenarios!A4</f>
        <v>Downside</v>
      </c>
      <c r="C31" s="7">
        <f>IF(A31=0,0,VLOOKUP(A31,Base_Value!$B$1:$C$27,2,0)*Assumptions!$C$24*Scenarios!$C$4)</f>
        <v>1700051.671469707</v>
      </c>
      <c r="D31">
        <f>IF(A31=0,0,Assumptions!$C$26*Assumptions!$C$27)</f>
        <v>15000</v>
      </c>
      <c r="E31" s="7">
        <f>Market_Value!E40*(1-Assumptions!C28)</f>
        <v>15923520</v>
      </c>
      <c r="F31" s="7">
        <f>IF(OR(A31=0,A31=1),0,(VLOOKUP($A$19,Base_Value!$B$1:$C$27,2,0)-VLOOKUP($A$31,Base_Value!$B$1:$C$27,2,0))/12)</f>
        <v>2090000</v>
      </c>
      <c r="G31" s="7"/>
      <c r="H31" s="7">
        <f t="shared" si="2"/>
        <v>19728571.671469707</v>
      </c>
    </row>
    <row r="32" spans="1:19" ht="15.95" customHeight="1">
      <c r="A32" s="30"/>
      <c r="B32" s="30" t="s">
        <v>94</v>
      </c>
      <c r="C32" s="31">
        <f>SUM(C19:C31)</f>
        <v>23833331.336107839</v>
      </c>
      <c r="D32" s="31">
        <f>SUM(D19:D31)</f>
        <v>180000</v>
      </c>
      <c r="E32" s="31">
        <f>SUM(E19:E31)</f>
        <v>15923520</v>
      </c>
      <c r="F32" s="31"/>
      <c r="G32" s="31"/>
      <c r="H32" s="31">
        <f>SUM(H19:H31)</f>
        <v>17326851.336107831</v>
      </c>
    </row>
    <row r="33" spans="1:8" ht="15.95" customHeight="1">
      <c r="A33" s="32"/>
      <c r="B33" s="32"/>
      <c r="C33" s="33"/>
      <c r="D33" s="33"/>
      <c r="E33" s="33"/>
      <c r="F33" s="33"/>
      <c r="G33" s="33"/>
      <c r="H33" s="33"/>
    </row>
    <row r="34" spans="1:8">
      <c r="A34">
        <v>0</v>
      </c>
      <c r="B34" t="str">
        <f>Scenarios!A5</f>
        <v>Stress</v>
      </c>
      <c r="C34" s="7">
        <f>IF(A34=0,0,VLOOKUP(A34,Base_Value!$B$1:$C$27,2,0)*Assumptions!$C$24*Scenarios!$C$5)</f>
        <v>0</v>
      </c>
      <c r="D34">
        <f>IF(A34=0,0,Assumptions!$C$26*Assumptions!$C$27)</f>
        <v>0</v>
      </c>
      <c r="E34" s="7">
        <v>0</v>
      </c>
      <c r="F34" s="7">
        <f>IF(OR(A34=0,A34=1),0,(VLOOKUP($A$34,Base_Value!$B$1:$C$27,2,0)-VLOOKUP($A$46,Base_Value!$B$1:$C$27,2,0))/12)</f>
        <v>0</v>
      </c>
      <c r="G34" s="7">
        <f>-Base_Value!$C$2</f>
        <v>-45600000</v>
      </c>
      <c r="H34" s="7">
        <f t="shared" ref="H34:H46" si="3">SUM(C34:G34)</f>
        <v>-45600000</v>
      </c>
    </row>
    <row r="35" spans="1:8">
      <c r="A35">
        <v>1</v>
      </c>
      <c r="B35" t="str">
        <f>Scenarios!A5</f>
        <v>Stress</v>
      </c>
      <c r="C35" s="7">
        <f>IF(A35=0,0,VLOOKUP(A35,Base_Value!$B$1:$C$27,2,0)*Assumptions!$C$24*Scenarios!$C$5)</f>
        <v>2809807.6236790991</v>
      </c>
      <c r="D35">
        <f>IF(A35=0,0,Assumptions!$C$26*Assumptions!$C$27)</f>
        <v>15000</v>
      </c>
      <c r="E35" s="7">
        <v>0</v>
      </c>
      <c r="F35" s="7">
        <f>IF(OR(A35=0,A35=1),0,(VLOOKUP($A$34,Base_Value!$B$1:$C$27,2,0)-VLOOKUP($A$46,Base_Value!$B$1:$C$27,2,0))/12)</f>
        <v>0</v>
      </c>
      <c r="G35" s="7"/>
      <c r="H35" s="7">
        <f t="shared" si="3"/>
        <v>2824807.6236790991</v>
      </c>
    </row>
    <row r="36" spans="1:8">
      <c r="A36">
        <v>2</v>
      </c>
      <c r="B36" t="str">
        <f>Scenarios!A5</f>
        <v>Stress</v>
      </c>
      <c r="C36" s="7">
        <f>IF(A36=0,0,VLOOKUP(A36,Base_Value!$B$1:$C$27,2,0)*Assumptions!$C$24*Scenarios!$C$5)</f>
        <v>2388336.480127234</v>
      </c>
      <c r="D36">
        <f>IF(A36=0,0,Assumptions!$C$26*Assumptions!$C$27)</f>
        <v>15000</v>
      </c>
      <c r="E36" s="7">
        <v>0</v>
      </c>
      <c r="F36" s="7">
        <f>IF(OR(A36=0,A36=1),0,(VLOOKUP($A$34,Base_Value!$B$1:$C$27,2,0)-VLOOKUP($A$46,Base_Value!$B$1:$C$27,2,0))/12)</f>
        <v>2090000</v>
      </c>
      <c r="G36" s="7"/>
      <c r="H36" s="7">
        <f t="shared" si="3"/>
        <v>4493336.480127234</v>
      </c>
    </row>
    <row r="37" spans="1:8">
      <c r="A37">
        <v>3</v>
      </c>
      <c r="B37" t="str">
        <f>Scenarios!A5</f>
        <v>Stress</v>
      </c>
      <c r="C37" s="7">
        <f>IF(A37=0,0,VLOOKUP(A37,Base_Value!$B$1:$C$27,2,0)*Assumptions!$C$24*Scenarios!$C$5)</f>
        <v>2030086.0081081488</v>
      </c>
      <c r="D37">
        <f>IF(A37=0,0,Assumptions!$C$26*Assumptions!$C$27)</f>
        <v>15000</v>
      </c>
      <c r="E37" s="7">
        <v>0</v>
      </c>
      <c r="F37" s="7">
        <f>IF(OR(A37=0,A37=1),0,(VLOOKUP($A$34,Base_Value!$B$1:$C$27,2,0)-VLOOKUP($A$46,Base_Value!$B$1:$C$27,2,0))/12)</f>
        <v>2090000</v>
      </c>
      <c r="G37" s="7"/>
      <c r="H37" s="7">
        <f t="shared" si="3"/>
        <v>4135086.0081081488</v>
      </c>
    </row>
    <row r="38" spans="1:8">
      <c r="A38">
        <v>4</v>
      </c>
      <c r="B38" t="str">
        <f>Scenarios!A5</f>
        <v>Stress</v>
      </c>
      <c r="C38" s="7">
        <f>IF(A38=0,0,VLOOKUP(A38,Base_Value!$B$1:$C$27,2,0)*Assumptions!$C$24*Scenarios!$C$5)</f>
        <v>1725573.1068919264</v>
      </c>
      <c r="D38">
        <f>IF(A38=0,0,Assumptions!$C$26*Assumptions!$C$27)</f>
        <v>15000</v>
      </c>
      <c r="E38" s="7">
        <v>0</v>
      </c>
      <c r="F38" s="7">
        <f>IF(OR(A38=0,A38=1),0,(VLOOKUP($A$34,Base_Value!$B$1:$C$27,2,0)-VLOOKUP($A$46,Base_Value!$B$1:$C$27,2,0))/12)</f>
        <v>2090000</v>
      </c>
      <c r="G38" s="7"/>
      <c r="H38" s="7">
        <f t="shared" si="3"/>
        <v>3830573.1068919264</v>
      </c>
    </row>
    <row r="39" spans="1:8">
      <c r="A39">
        <v>5</v>
      </c>
      <c r="B39" t="str">
        <f>Scenarios!A5</f>
        <v>Stress</v>
      </c>
      <c r="C39" s="7">
        <f>IF(A39=0,0,VLOOKUP(A39,Base_Value!$B$1:$C$27,2,0)*Assumptions!$C$24*Scenarios!$C$5)</f>
        <v>1487545.2125359937</v>
      </c>
      <c r="D39">
        <f>IF(A39=0,0,Assumptions!$C$26*Assumptions!$C$27)</f>
        <v>15000</v>
      </c>
      <c r="E39" s="7">
        <v>0</v>
      </c>
      <c r="F39" s="7">
        <f>IF(OR(A39=0,A39=1),0,(VLOOKUP($A$34,Base_Value!$B$1:$C$27,2,0)-VLOOKUP($A$46,Base_Value!$B$1:$C$27,2,0))/12)</f>
        <v>2090000</v>
      </c>
      <c r="G39" s="7"/>
      <c r="H39" s="7">
        <f t="shared" si="3"/>
        <v>3592545.2125359937</v>
      </c>
    </row>
    <row r="40" spans="1:8">
      <c r="A40">
        <v>6</v>
      </c>
      <c r="B40" t="str">
        <f>Scenarios!A5</f>
        <v>Stress</v>
      </c>
      <c r="C40" s="7">
        <f>IF(A40=0,0,VLOOKUP(A40,Base_Value!$B$1:$C$27,2,0)*Assumptions!$C$24*Scenarios!$C$5)</f>
        <v>1487545.2125359937</v>
      </c>
      <c r="D40">
        <f>IF(A40=0,0,Assumptions!$C$26*Assumptions!$C$27)</f>
        <v>15000</v>
      </c>
      <c r="E40" s="7">
        <v>0</v>
      </c>
      <c r="F40" s="7">
        <f>IF(OR(A40=0,A40=1),0,(VLOOKUP($A$34,Base_Value!$B$1:$C$27,2,0)-VLOOKUP($A$46,Base_Value!$B$1:$C$27,2,0))/12)</f>
        <v>2090000</v>
      </c>
      <c r="G40" s="7"/>
      <c r="H40" s="7">
        <f t="shared" si="3"/>
        <v>3592545.2125359937</v>
      </c>
    </row>
    <row r="41" spans="1:8">
      <c r="A41">
        <v>7</v>
      </c>
      <c r="B41" t="str">
        <f>Scenarios!A5</f>
        <v>Stress</v>
      </c>
      <c r="C41" s="7">
        <f>IF(A41=0,0,VLOOKUP(A41,Base_Value!$B$1:$C$27,2,0)*Assumptions!$C$24*Scenarios!$C$5)</f>
        <v>1487545.2125359937</v>
      </c>
      <c r="D41">
        <f>IF(A41=0,0,Assumptions!$C$26*Assumptions!$C$27)</f>
        <v>15000</v>
      </c>
      <c r="E41" s="7">
        <v>0</v>
      </c>
      <c r="F41" s="7">
        <f>IF(OR(A41=0,A41=1),0,(VLOOKUP($A$34,Base_Value!$B$1:$C$27,2,0)-VLOOKUP($A$46,Base_Value!$B$1:$C$27,2,0))/12)</f>
        <v>2090000</v>
      </c>
      <c r="G41" s="7"/>
      <c r="H41" s="7">
        <f t="shared" si="3"/>
        <v>3592545.2125359937</v>
      </c>
    </row>
    <row r="42" spans="1:8">
      <c r="A42">
        <v>8</v>
      </c>
      <c r="B42" t="str">
        <f>Scenarios!A5</f>
        <v>Stress</v>
      </c>
      <c r="C42" s="7">
        <f>IF(A42=0,0,VLOOKUP(A42,Base_Value!$B$1:$C$27,2,0)*Assumptions!$C$24*Scenarios!$C$5)</f>
        <v>1487545.2125359937</v>
      </c>
      <c r="D42">
        <f>IF(A42=0,0,Assumptions!$C$26*Assumptions!$C$27)</f>
        <v>15000</v>
      </c>
      <c r="E42" s="7">
        <v>0</v>
      </c>
      <c r="F42" s="7">
        <f>IF(OR(A42=0,A42=1),0,(VLOOKUP($A$34,Base_Value!$B$1:$C$27,2,0)-VLOOKUP($A$46,Base_Value!$B$1:$C$27,2,0))/12)</f>
        <v>2090000</v>
      </c>
      <c r="G42" s="7"/>
      <c r="H42" s="7">
        <f t="shared" si="3"/>
        <v>3592545.2125359937</v>
      </c>
    </row>
    <row r="43" spans="1:8">
      <c r="A43">
        <v>9</v>
      </c>
      <c r="B43" t="str">
        <f>Scenarios!A5</f>
        <v>Stress</v>
      </c>
      <c r="C43" s="7">
        <f>IF(A43=0,0,VLOOKUP(A43,Base_Value!$B$1:$C$27,2,0)*Assumptions!$C$24*Scenarios!$C$5)</f>
        <v>1487545.2125359937</v>
      </c>
      <c r="D43">
        <f>IF(A43=0,0,Assumptions!$C$26*Assumptions!$C$27)</f>
        <v>15000</v>
      </c>
      <c r="E43" s="7">
        <v>0</v>
      </c>
      <c r="F43" s="7">
        <f>IF(OR(A43=0,A43=1),0,(VLOOKUP($A$34,Base_Value!$B$1:$C$27,2,0)-VLOOKUP($A$46,Base_Value!$B$1:$C$27,2,0))/12)</f>
        <v>2090000</v>
      </c>
      <c r="G43" s="7"/>
      <c r="H43" s="7">
        <f t="shared" si="3"/>
        <v>3592545.2125359937</v>
      </c>
    </row>
    <row r="44" spans="1:8">
      <c r="A44">
        <v>10</v>
      </c>
      <c r="B44" t="str">
        <f>Scenarios!A5</f>
        <v>Stress</v>
      </c>
      <c r="C44" s="7">
        <f>IF(A44=0,0,VLOOKUP(A44,Base_Value!$B$1:$C$27,2,0)*Assumptions!$C$24*Scenarios!$C$5)</f>
        <v>1487545.2125359937</v>
      </c>
      <c r="D44">
        <f>IF(A44=0,0,Assumptions!$C$26*Assumptions!$C$27)</f>
        <v>15000</v>
      </c>
      <c r="E44" s="7">
        <v>0</v>
      </c>
      <c r="F44" s="7">
        <f>IF(OR(A44=0,A44=1),0,(VLOOKUP($A$34,Base_Value!$B$1:$C$27,2,0)-VLOOKUP($A$46,Base_Value!$B$1:$C$27,2,0))/12)</f>
        <v>2090000</v>
      </c>
      <c r="G44" s="7"/>
      <c r="H44" s="7">
        <f t="shared" si="3"/>
        <v>3592545.2125359937</v>
      </c>
    </row>
    <row r="45" spans="1:8">
      <c r="A45">
        <v>11</v>
      </c>
      <c r="B45" t="str">
        <f>Scenarios!A5</f>
        <v>Stress</v>
      </c>
      <c r="C45" s="7">
        <f>IF(A45=0,0,VLOOKUP(A45,Base_Value!$B$1:$C$27,2,0)*Assumptions!$C$24*Scenarios!$C$5)</f>
        <v>1487545.2125359937</v>
      </c>
      <c r="D45">
        <f>IF(A45=0,0,Assumptions!$C$26*Assumptions!$C$27)</f>
        <v>15000</v>
      </c>
      <c r="E45" s="7">
        <v>0</v>
      </c>
      <c r="F45" s="7">
        <f>IF(OR(A45=0,A45=1),0,(VLOOKUP($A$34,Base_Value!$B$1:$C$27,2,0)-VLOOKUP($A$46,Base_Value!$B$1:$C$27,2,0))/12)</f>
        <v>2090000</v>
      </c>
      <c r="G45" s="7"/>
      <c r="H45" s="7">
        <f t="shared" si="3"/>
        <v>3592545.2125359937</v>
      </c>
    </row>
    <row r="46" spans="1:8">
      <c r="A46">
        <v>12</v>
      </c>
      <c r="B46" t="str">
        <f>Scenarios!A5</f>
        <v>Stress</v>
      </c>
      <c r="C46" s="7">
        <f>IF(A46=0,0,VLOOKUP(A46,Base_Value!$B$1:$C$27,2,0)*Assumptions!$C$24*Scenarios!$C$5)</f>
        <v>1487545.2125359937</v>
      </c>
      <c r="D46">
        <f>IF(A46=0,0,Assumptions!$C$26*Assumptions!$C$27)</f>
        <v>15000</v>
      </c>
      <c r="E46" s="7">
        <f>Market_Value!E41*(1-Assumptions!C28)</f>
        <v>11942640</v>
      </c>
      <c r="F46" s="7">
        <f>IF(OR(A46=0,A46=1),0,(VLOOKUP($A$34,Base_Value!$B$1:$C$27,2,0)-VLOOKUP($A$46,Base_Value!$B$1:$C$27,2,0))/12)</f>
        <v>2090000</v>
      </c>
      <c r="G46" s="7"/>
      <c r="H46" s="7">
        <f t="shared" si="3"/>
        <v>15535185.212535994</v>
      </c>
    </row>
    <row r="47" spans="1:8" ht="15.95" customHeight="1">
      <c r="A47" s="30"/>
      <c r="B47" s="30" t="s">
        <v>94</v>
      </c>
      <c r="C47" s="31">
        <f>SUM(C34:C46)</f>
        <v>20854164.919094358</v>
      </c>
      <c r="D47" s="31">
        <f>SUM(D34:D46)</f>
        <v>180000</v>
      </c>
      <c r="E47" s="31">
        <f>SUM(E34:E46)</f>
        <v>11942640</v>
      </c>
      <c r="F47" s="31"/>
      <c r="G47" s="31"/>
      <c r="H47" s="31">
        <f>SUM(H34:H46)</f>
        <v>10366804.919094352</v>
      </c>
    </row>
  </sheetData>
  <mergeCells count="1">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499984740745262"/>
  </sheetPr>
  <dimension ref="A1:B12"/>
  <sheetViews>
    <sheetView showGridLines="0" workbookViewId="0">
      <selection activeCell="B3" sqref="B3"/>
    </sheetView>
  </sheetViews>
  <sheetFormatPr defaultColWidth="8.85546875" defaultRowHeight="15"/>
  <cols>
    <col min="1" max="1" width="32.7109375" customWidth="1"/>
    <col min="2" max="2" width="21" customWidth="1"/>
  </cols>
  <sheetData>
    <row r="1" spans="1:2">
      <c r="A1" s="122" t="s">
        <v>95</v>
      </c>
      <c r="B1" s="111"/>
    </row>
    <row r="2" spans="1:2">
      <c r="A2" s="40" t="s">
        <v>96</v>
      </c>
      <c r="B2" s="36" t="s">
        <v>97</v>
      </c>
    </row>
    <row r="3" spans="1:2">
      <c r="A3" s="3" t="s">
        <v>46</v>
      </c>
      <c r="B3" s="71">
        <f>Assumptions!C29</f>
        <v>0.128</v>
      </c>
    </row>
    <row r="4" spans="1:2">
      <c r="A4" s="3" t="s">
        <v>47</v>
      </c>
      <c r="B4" s="71">
        <f>Assumptions!C30</f>
        <v>6.5000000000000002E-2</v>
      </c>
    </row>
    <row r="5" spans="1:2">
      <c r="A5" s="3" t="s">
        <v>50</v>
      </c>
      <c r="B5" s="38">
        <f>Assumptions!C31</f>
        <v>0.7</v>
      </c>
    </row>
    <row r="6" spans="1:2">
      <c r="A6" s="3" t="s">
        <v>98</v>
      </c>
      <c r="B6" s="38">
        <f>100%-B5</f>
        <v>0.30000000000000004</v>
      </c>
    </row>
    <row r="7" spans="1:2">
      <c r="A7" s="3" t="s">
        <v>55</v>
      </c>
      <c r="B7" s="38">
        <f>Assumptions!C33</f>
        <v>0.25</v>
      </c>
    </row>
    <row r="8" spans="1:2">
      <c r="A8" s="37" t="s">
        <v>54</v>
      </c>
      <c r="B8" s="39">
        <f>B6*B3+B5*B4*(1-B7)</f>
        <v>7.2525000000000006E-2</v>
      </c>
    </row>
    <row r="12" spans="1:2">
      <c r="B12" s="9"/>
    </row>
  </sheetData>
  <mergeCells count="1">
    <mergeCell ref="A1:B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499984740745262"/>
  </sheetPr>
  <dimension ref="A1:D5"/>
  <sheetViews>
    <sheetView showGridLines="0" workbookViewId="0">
      <pane ySplit="2" topLeftCell="A3" activePane="bottomLeft" state="frozen"/>
      <selection pane="bottomLeft" activeCell="B3" sqref="B3"/>
    </sheetView>
  </sheetViews>
  <sheetFormatPr defaultColWidth="8.85546875" defaultRowHeight="15"/>
  <cols>
    <col min="1" max="1" width="22.42578125" customWidth="1"/>
    <col min="2" max="2" width="26.140625" bestFit="1" customWidth="1"/>
    <col min="3" max="3" width="31.140625" bestFit="1" customWidth="1"/>
  </cols>
  <sheetData>
    <row r="1" spans="1:4" ht="21" customHeight="1">
      <c r="A1" s="123" t="s">
        <v>99</v>
      </c>
      <c r="B1" s="111"/>
      <c r="C1" s="111"/>
    </row>
    <row r="2" spans="1:4" ht="28.7" customHeight="1">
      <c r="A2" s="42" t="s">
        <v>51</v>
      </c>
      <c r="B2" s="29" t="s">
        <v>100</v>
      </c>
      <c r="C2" s="29" t="s">
        <v>101</v>
      </c>
    </row>
    <row r="3" spans="1:4" ht="18.95" customHeight="1">
      <c r="A3" s="43" t="s">
        <v>57</v>
      </c>
      <c r="B3" s="41">
        <f>NPV(Assumptions!$C$34,Cashflow!$C$5:$C$16)+NPV(Assumptions!$C$34,Cashflow!$F$5:$F$16)+Cashflow!$E$16/(1+Assumptions!$C$34)^12-Assumptions!$C$7</f>
        <v>7841.2190730199218</v>
      </c>
      <c r="C3" s="74">
        <f>IRR(Cashflow!$H$4:$H$16)</f>
        <v>7.2971751955550834E-2</v>
      </c>
      <c r="D3" s="6"/>
    </row>
    <row r="4" spans="1:4" ht="18.95" customHeight="1">
      <c r="A4" s="43" t="s">
        <v>58</v>
      </c>
      <c r="B4" s="41">
        <f>NPV(Assumptions!$C$34,Cashflow!C6:$C$16)+NPV(Assumptions!$C$34,Cashflow!$F$19:$F$31)+Cashflow!$E$16/(1+Assumptions!$C$34)^12-Assumptions!$C$7</f>
        <v>-4052266.3735244498</v>
      </c>
      <c r="C4" s="75">
        <f>IRR(Cashflow!$H$19:$H$31)</f>
        <v>4.3865955249026367E-2</v>
      </c>
    </row>
    <row r="5" spans="1:4" ht="18.95" customHeight="1">
      <c r="A5" s="43" t="s">
        <v>59</v>
      </c>
      <c r="B5" s="41">
        <f>NPV(Assumptions!$C$34,Cashflow!C7:$C$16)+NPV(Assumptions!$C$34,Cashflow!$F$34:$F$46)+Cashflow!$E$16/(1+Assumptions!$C$34)^12-Assumptions!$C$7</f>
        <v>-6651911.1019080356</v>
      </c>
      <c r="C5" s="75">
        <f>IRR(Cashflow!$H$34:$H$46)</f>
        <v>2.7947065552830441E-2</v>
      </c>
    </row>
  </sheetData>
  <mergeCells count="1">
    <mergeCell ref="A1:C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499984740745262"/>
    <pageSetUpPr autoPageBreaks="0"/>
  </sheetPr>
  <dimension ref="A1:B16"/>
  <sheetViews>
    <sheetView showGridLines="0" workbookViewId="0">
      <pane ySplit="2" topLeftCell="A3" activePane="bottomLeft" state="frozen"/>
      <selection pane="bottomLeft" activeCell="G19" sqref="G19"/>
    </sheetView>
  </sheetViews>
  <sheetFormatPr defaultColWidth="8.85546875" defaultRowHeight="15"/>
  <cols>
    <col min="1" max="1" width="29.140625" customWidth="1"/>
    <col min="2" max="2" width="31.28515625" customWidth="1"/>
  </cols>
  <sheetData>
    <row r="1" spans="1:2" ht="18.95" customHeight="1">
      <c r="A1" s="118" t="s">
        <v>102</v>
      </c>
      <c r="B1" s="111"/>
    </row>
    <row r="2" spans="1:2">
      <c r="A2" s="48" t="s">
        <v>62</v>
      </c>
      <c r="B2" s="44" t="s">
        <v>57</v>
      </c>
    </row>
    <row r="3" spans="1:2">
      <c r="A3" s="3" t="s">
        <v>63</v>
      </c>
      <c r="B3" s="88">
        <f>Base_Value!$H$2</f>
        <v>45600000</v>
      </c>
    </row>
    <row r="4" spans="1:2">
      <c r="A4" s="3" t="s">
        <v>64</v>
      </c>
      <c r="B4" s="88">
        <f>Market_Value!$E$3</f>
        <v>45600000</v>
      </c>
    </row>
    <row r="5" spans="1:2">
      <c r="A5" s="3" t="s">
        <v>65</v>
      </c>
      <c r="B5" s="88">
        <f>'LRF-Model'!$E$3</f>
        <v>4722365.7540825196</v>
      </c>
    </row>
    <row r="6" spans="1:2">
      <c r="A6" s="3" t="s">
        <v>66</v>
      </c>
      <c r="B6" s="88">
        <f>Cashflow!$E$16</f>
        <v>19904400</v>
      </c>
    </row>
    <row r="7" spans="1:2">
      <c r="A7" s="3" t="s">
        <v>67</v>
      </c>
      <c r="B7" s="7">
        <f>DCF!$B$3</f>
        <v>7841.2190730199218</v>
      </c>
    </row>
    <row r="8" spans="1:2">
      <c r="A8" s="3" t="s">
        <v>68</v>
      </c>
      <c r="B8" s="16">
        <f>DCF!$C$3</f>
        <v>7.2971751955550834E-2</v>
      </c>
    </row>
    <row r="9" spans="1:2">
      <c r="A9" s="3" t="s">
        <v>54</v>
      </c>
      <c r="B9" s="78">
        <f>WACC!$B$8</f>
        <v>7.2525000000000006E-2</v>
      </c>
    </row>
    <row r="12" spans="1:2">
      <c r="A12" s="3" t="s">
        <v>60</v>
      </c>
    </row>
    <row r="13" spans="1:2" ht="15.95" customHeight="1">
      <c r="A13" s="47" t="s">
        <v>103</v>
      </c>
      <c r="B13" s="45" t="s">
        <v>104</v>
      </c>
    </row>
    <row r="14" spans="1:2" ht="48" customHeight="1">
      <c r="A14" s="46" t="s">
        <v>105</v>
      </c>
      <c r="B14" s="79" t="s">
        <v>106</v>
      </c>
    </row>
    <row r="15" spans="1:2" ht="45.6" customHeight="1">
      <c r="A15" s="46" t="s">
        <v>107</v>
      </c>
      <c r="B15" s="79" t="s">
        <v>108</v>
      </c>
    </row>
    <row r="16" spans="1:2" ht="48" customHeight="1">
      <c r="A16" s="46" t="s">
        <v>109</v>
      </c>
      <c r="B16" s="79" t="s">
        <v>110</v>
      </c>
    </row>
  </sheetData>
  <mergeCells count="1">
    <mergeCell ref="A1:B1"/>
  </mergeCells>
  <printOptions horizontalCentered="1"/>
  <pageMargins left="0.74803149606299213" right="0.74803149606299213" top="0.98425196850393704" bottom="0.98425196850393704" header="0.51181102362204722" footer="0.51181102362204722"/>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499984740745262"/>
    <pageSetUpPr fitToPage="1"/>
  </sheetPr>
  <dimension ref="A2"/>
  <sheetViews>
    <sheetView showGridLines="0" zoomScale="99" workbookViewId="0">
      <selection activeCell="M84" sqref="M84"/>
    </sheetView>
  </sheetViews>
  <sheetFormatPr defaultColWidth="8.85546875" defaultRowHeight="15"/>
  <sheetData>
    <row r="2" spans="1:1" s="50" customFormat="1" ht="18.95" customHeight="1">
      <c r="A2" s="49" t="s">
        <v>111</v>
      </c>
    </row>
  </sheetData>
  <printOptions horizontalCentered="1"/>
  <pageMargins left="0.70866141732283472" right="0" top="0.19685039370078741" bottom="0" header="0" footer="0"/>
  <pageSetup paperSize="3"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249977111117893"/>
  </sheetPr>
  <dimension ref="B2:Q29"/>
  <sheetViews>
    <sheetView showGridLines="0" workbookViewId="0">
      <selection activeCell="C4" sqref="C4"/>
    </sheetView>
  </sheetViews>
  <sheetFormatPr defaultColWidth="8.85546875" defaultRowHeight="15"/>
  <cols>
    <col min="1" max="1" width="8.85546875" customWidth="1"/>
    <col min="2" max="5" width="13.7109375" customWidth="1"/>
    <col min="6" max="7" width="5.28515625" customWidth="1"/>
    <col min="8" max="11" width="13.7109375" customWidth="1"/>
    <col min="12" max="13" width="5.28515625" customWidth="1"/>
    <col min="14" max="17" width="13.7109375" customWidth="1"/>
    <col min="18" max="18" width="8.85546875" customWidth="1"/>
  </cols>
  <sheetData>
    <row r="2" spans="2:17">
      <c r="B2" s="124" t="s">
        <v>112</v>
      </c>
      <c r="C2" s="111"/>
      <c r="D2" s="111"/>
      <c r="E2" s="111"/>
      <c r="F2" s="20"/>
      <c r="G2" s="20"/>
      <c r="H2" s="124" t="s">
        <v>113</v>
      </c>
      <c r="I2" s="111"/>
      <c r="J2" s="111"/>
      <c r="K2" s="111"/>
      <c r="L2" s="20"/>
      <c r="M2" s="20"/>
      <c r="N2" s="124" t="s">
        <v>114</v>
      </c>
      <c r="O2" s="111"/>
      <c r="P2" s="111"/>
      <c r="Q2" s="111"/>
    </row>
    <row r="3" spans="2:17">
      <c r="B3" s="21" t="s">
        <v>73</v>
      </c>
      <c r="C3" s="22" t="s">
        <v>57</v>
      </c>
      <c r="D3" s="22" t="s">
        <v>58</v>
      </c>
      <c r="E3" s="23" t="s">
        <v>59</v>
      </c>
      <c r="H3" s="21" t="s">
        <v>73</v>
      </c>
      <c r="I3" s="22" t="s">
        <v>57</v>
      </c>
      <c r="J3" s="22" t="s">
        <v>58</v>
      </c>
      <c r="K3" s="23" t="s">
        <v>59</v>
      </c>
      <c r="N3" s="21" t="s">
        <v>73</v>
      </c>
      <c r="O3" s="22" t="s">
        <v>57</v>
      </c>
      <c r="P3" s="22" t="s">
        <v>58</v>
      </c>
      <c r="Q3" s="23" t="s">
        <v>59</v>
      </c>
    </row>
    <row r="4" spans="2:17">
      <c r="B4" s="24">
        <v>0</v>
      </c>
      <c r="C4" s="7">
        <f>MAX(Base_Value!$H$2*EXP(-Base_Value!$H$3*'Helping Table'!$B4),45%*Base_Value!$H$2)</f>
        <v>45600000</v>
      </c>
      <c r="D4" s="7">
        <f t="shared" ref="D4:D29" si="0">C4</f>
        <v>45600000</v>
      </c>
      <c r="E4" s="25">
        <f t="shared" ref="E4:E29" si="1">C4</f>
        <v>45600000</v>
      </c>
      <c r="H4" s="24">
        <v>0</v>
      </c>
      <c r="I4" s="7">
        <f>C4*Scenarios!$B$3</f>
        <v>45600000</v>
      </c>
      <c r="J4" s="7">
        <f>D4*Scenarios!$B$4</f>
        <v>36480000</v>
      </c>
      <c r="K4" s="25">
        <f>E4*Scenarios!$B$5</f>
        <v>27360000</v>
      </c>
      <c r="N4" s="24">
        <v>0</v>
      </c>
      <c r="O4" s="7">
        <f>I4*(1-Assumptions!$C$28)</f>
        <v>44232000</v>
      </c>
      <c r="P4" s="7">
        <f>J4*(1-Assumptions!$C$28)</f>
        <v>35385600</v>
      </c>
      <c r="Q4" s="25">
        <f>K4*(1-Assumptions!$C$28)</f>
        <v>26539200</v>
      </c>
    </row>
    <row r="5" spans="2:17">
      <c r="B5" s="24">
        <v>1</v>
      </c>
      <c r="C5" s="7">
        <f>MAX(Base_Value!$H$2*EXP(-Base_Value!$H$3*'Helping Table'!$B5),45%*Base_Value!$H$2)</f>
        <v>38760000</v>
      </c>
      <c r="D5" s="7">
        <f t="shared" si="0"/>
        <v>38760000</v>
      </c>
      <c r="E5" s="25">
        <f t="shared" si="1"/>
        <v>38760000</v>
      </c>
      <c r="H5" s="24">
        <v>1</v>
      </c>
      <c r="I5" s="7">
        <f>C5*Scenarios!$B$3</f>
        <v>38760000</v>
      </c>
      <c r="J5" s="7">
        <f>D5*Scenarios!$B$4</f>
        <v>31008000</v>
      </c>
      <c r="K5" s="25">
        <f>E5*Scenarios!$B$5</f>
        <v>23256000</v>
      </c>
      <c r="N5" s="24">
        <v>1</v>
      </c>
      <c r="O5" s="7">
        <f>I5*(1-Assumptions!$C$28)</f>
        <v>37597200</v>
      </c>
      <c r="P5" s="7">
        <f>J5*(1-Assumptions!$C$28)</f>
        <v>30077760</v>
      </c>
      <c r="Q5" s="25">
        <f>K5*(1-Assumptions!$C$28)</f>
        <v>22558320</v>
      </c>
    </row>
    <row r="6" spans="2:17">
      <c r="B6" s="24">
        <v>2</v>
      </c>
      <c r="C6" s="7">
        <f>MAX(Base_Value!$H$2*EXP(-Base_Value!$H$3*'Helping Table'!$B6),45%*Base_Value!$H$2)</f>
        <v>32945999.999999996</v>
      </c>
      <c r="D6" s="7">
        <f t="shared" si="0"/>
        <v>32945999.999999996</v>
      </c>
      <c r="E6" s="25">
        <f t="shared" si="1"/>
        <v>32945999.999999996</v>
      </c>
      <c r="H6" s="24">
        <v>2</v>
      </c>
      <c r="I6" s="7">
        <f>C6*Scenarios!$B$3</f>
        <v>32945999.999999996</v>
      </c>
      <c r="J6" s="7">
        <f>D6*Scenarios!$B$4</f>
        <v>26356800</v>
      </c>
      <c r="K6" s="25">
        <f>E6*Scenarios!$B$5</f>
        <v>19767599.999999996</v>
      </c>
      <c r="N6" s="24">
        <v>2</v>
      </c>
      <c r="O6" s="7">
        <f>I6*(1-Assumptions!$C$28)</f>
        <v>31957619.999999996</v>
      </c>
      <c r="P6" s="7">
        <f>J6*(1-Assumptions!$C$28)</f>
        <v>25566096</v>
      </c>
      <c r="Q6" s="25">
        <f>K6*(1-Assumptions!$C$28)</f>
        <v>19174571.999999996</v>
      </c>
    </row>
    <row r="7" spans="2:17">
      <c r="B7" s="24">
        <v>3</v>
      </c>
      <c r="C7" s="7">
        <f>MAX(Base_Value!$H$2*EXP(-Base_Value!$H$3*'Helping Table'!$B7),45%*Base_Value!$H$2)</f>
        <v>28004099.999999996</v>
      </c>
      <c r="D7" s="7">
        <f t="shared" si="0"/>
        <v>28004099.999999996</v>
      </c>
      <c r="E7" s="25">
        <f t="shared" si="1"/>
        <v>28004099.999999996</v>
      </c>
      <c r="H7" s="24">
        <v>3</v>
      </c>
      <c r="I7" s="7">
        <f>C7*Scenarios!$B$3</f>
        <v>28004099.999999996</v>
      </c>
      <c r="J7" s="7">
        <f>D7*Scenarios!$B$4</f>
        <v>22403280</v>
      </c>
      <c r="K7" s="25">
        <f>E7*Scenarios!$B$5</f>
        <v>16802459.999999996</v>
      </c>
      <c r="N7" s="24">
        <v>3</v>
      </c>
      <c r="O7" s="7">
        <f>I7*(1-Assumptions!$C$28)</f>
        <v>27163976.999999996</v>
      </c>
      <c r="P7" s="7">
        <f>J7*(1-Assumptions!$C$28)</f>
        <v>21731181.599999998</v>
      </c>
      <c r="Q7" s="25">
        <f>K7*(1-Assumptions!$C$28)</f>
        <v>16298386.199999996</v>
      </c>
    </row>
    <row r="8" spans="2:17">
      <c r="B8" s="24">
        <v>4</v>
      </c>
      <c r="C8" s="7">
        <f>MAX(Base_Value!$H$2*EXP(-Base_Value!$H$3*'Helping Table'!$B8),45%*Base_Value!$H$2)</f>
        <v>23803484.999999996</v>
      </c>
      <c r="D8" s="7">
        <f t="shared" si="0"/>
        <v>23803484.999999996</v>
      </c>
      <c r="E8" s="25">
        <f t="shared" si="1"/>
        <v>23803484.999999996</v>
      </c>
      <c r="H8" s="24">
        <v>4</v>
      </c>
      <c r="I8" s="7">
        <f>C8*Scenarios!$B$3</f>
        <v>23803484.999999996</v>
      </c>
      <c r="J8" s="7">
        <f>D8*Scenarios!$B$4</f>
        <v>19042787.999999996</v>
      </c>
      <c r="K8" s="25">
        <f>E8*Scenarios!$B$5</f>
        <v>14282090.999999998</v>
      </c>
      <c r="N8" s="24">
        <v>4</v>
      </c>
      <c r="O8" s="7">
        <f>I8*(1-Assumptions!$C$28)</f>
        <v>23089380.449999996</v>
      </c>
      <c r="P8" s="7">
        <f>J8*(1-Assumptions!$C$28)</f>
        <v>18471504.359999996</v>
      </c>
      <c r="Q8" s="25">
        <f>K8*(1-Assumptions!$C$28)</f>
        <v>13853628.269999998</v>
      </c>
    </row>
    <row r="9" spans="2:17">
      <c r="B9" s="24">
        <v>5</v>
      </c>
      <c r="C9" s="7">
        <f>MAX(Base_Value!$H$2*EXP(-Base_Value!$H$3*'Helping Table'!$B9),45%*Base_Value!$H$2)</f>
        <v>20520000</v>
      </c>
      <c r="D9" s="7">
        <f t="shared" si="0"/>
        <v>20520000</v>
      </c>
      <c r="E9" s="25">
        <f t="shared" si="1"/>
        <v>20520000</v>
      </c>
      <c r="H9" s="24">
        <v>5</v>
      </c>
      <c r="I9" s="7">
        <f>C9*Scenarios!$B$3</f>
        <v>20520000</v>
      </c>
      <c r="J9" s="7">
        <f>D9*Scenarios!$B$4</f>
        <v>16416000</v>
      </c>
      <c r="K9" s="25">
        <f>E9*Scenarios!$B$5</f>
        <v>12312000</v>
      </c>
      <c r="N9" s="24">
        <v>5</v>
      </c>
      <c r="O9" s="7">
        <f>I9*(1-Assumptions!$C$28)</f>
        <v>19904400</v>
      </c>
      <c r="P9" s="7">
        <f>J9*(1-Assumptions!$C$28)</f>
        <v>15923520</v>
      </c>
      <c r="Q9" s="25">
        <f>K9*(1-Assumptions!$C$28)</f>
        <v>11942640</v>
      </c>
    </row>
    <row r="10" spans="2:17">
      <c r="B10" s="24">
        <v>6</v>
      </c>
      <c r="C10" s="7">
        <f>MAX(Base_Value!$H$2*EXP(-Base_Value!$H$3*'Helping Table'!$B10),45%*Base_Value!$H$2)</f>
        <v>20520000</v>
      </c>
      <c r="D10" s="7">
        <f t="shared" si="0"/>
        <v>20520000</v>
      </c>
      <c r="E10" s="25">
        <f t="shared" si="1"/>
        <v>20520000</v>
      </c>
      <c r="H10" s="24">
        <v>6</v>
      </c>
      <c r="I10" s="7">
        <f>C10*Scenarios!$B$3</f>
        <v>20520000</v>
      </c>
      <c r="J10" s="7">
        <f>D10*Scenarios!$B$4</f>
        <v>16416000</v>
      </c>
      <c r="K10" s="25">
        <f>E10*Scenarios!$B$5</f>
        <v>12312000</v>
      </c>
      <c r="N10" s="24">
        <v>6</v>
      </c>
      <c r="O10" s="7">
        <f>I10*(1-Assumptions!$C$28)</f>
        <v>19904400</v>
      </c>
      <c r="P10" s="7">
        <f>J10*(1-Assumptions!$C$28)</f>
        <v>15923520</v>
      </c>
      <c r="Q10" s="25">
        <f>K10*(1-Assumptions!$C$28)</f>
        <v>11942640</v>
      </c>
    </row>
    <row r="11" spans="2:17">
      <c r="B11" s="24">
        <v>7</v>
      </c>
      <c r="C11" s="7">
        <f>MAX(Base_Value!$H$2*EXP(-Base_Value!$H$3*'Helping Table'!$B11),45%*Base_Value!$H$2)</f>
        <v>20520000</v>
      </c>
      <c r="D11" s="7">
        <f t="shared" si="0"/>
        <v>20520000</v>
      </c>
      <c r="E11" s="25">
        <f t="shared" si="1"/>
        <v>20520000</v>
      </c>
      <c r="H11" s="24">
        <v>7</v>
      </c>
      <c r="I11" s="7">
        <f>C11*Scenarios!$B$3</f>
        <v>20520000</v>
      </c>
      <c r="J11" s="7">
        <f>D11*Scenarios!$B$4</f>
        <v>16416000</v>
      </c>
      <c r="K11" s="25">
        <f>E11*Scenarios!$B$5</f>
        <v>12312000</v>
      </c>
      <c r="N11" s="24">
        <v>7</v>
      </c>
      <c r="O11" s="7">
        <f>I11*(1-Assumptions!$C$28)</f>
        <v>19904400</v>
      </c>
      <c r="P11" s="7">
        <f>J11*(1-Assumptions!$C$28)</f>
        <v>15923520</v>
      </c>
      <c r="Q11" s="25">
        <f>K11*(1-Assumptions!$C$28)</f>
        <v>11942640</v>
      </c>
    </row>
    <row r="12" spans="2:17">
      <c r="B12" s="24">
        <v>8</v>
      </c>
      <c r="C12" s="7">
        <f>MAX(Base_Value!$H$2*EXP(-Base_Value!$H$3*'Helping Table'!$B12),45%*Base_Value!$H$2)</f>
        <v>20520000</v>
      </c>
      <c r="D12" s="7">
        <f t="shared" si="0"/>
        <v>20520000</v>
      </c>
      <c r="E12" s="25">
        <f t="shared" si="1"/>
        <v>20520000</v>
      </c>
      <c r="H12" s="24">
        <v>8</v>
      </c>
      <c r="I12" s="7">
        <f>C12*Scenarios!$B$3</f>
        <v>20520000</v>
      </c>
      <c r="J12" s="7">
        <f>D12*Scenarios!$B$4</f>
        <v>16416000</v>
      </c>
      <c r="K12" s="25">
        <f>E12*Scenarios!$B$5</f>
        <v>12312000</v>
      </c>
      <c r="N12" s="24">
        <v>8</v>
      </c>
      <c r="O12" s="7">
        <f>I12*(1-Assumptions!$C$28)</f>
        <v>19904400</v>
      </c>
      <c r="P12" s="7">
        <f>J12*(1-Assumptions!$C$28)</f>
        <v>15923520</v>
      </c>
      <c r="Q12" s="25">
        <f>K12*(1-Assumptions!$C$28)</f>
        <v>11942640</v>
      </c>
    </row>
    <row r="13" spans="2:17">
      <c r="B13" s="24">
        <v>9</v>
      </c>
      <c r="C13" s="7">
        <f>MAX(Base_Value!$H$2*EXP(-Base_Value!$H$3*'Helping Table'!$B13),45%*Base_Value!$H$2)</f>
        <v>20520000</v>
      </c>
      <c r="D13" s="7">
        <f t="shared" si="0"/>
        <v>20520000</v>
      </c>
      <c r="E13" s="25">
        <f t="shared" si="1"/>
        <v>20520000</v>
      </c>
      <c r="H13" s="24">
        <v>9</v>
      </c>
      <c r="I13" s="7">
        <f>C13*Scenarios!$B$3</f>
        <v>20520000</v>
      </c>
      <c r="J13" s="7">
        <f>D13*Scenarios!$B$4</f>
        <v>16416000</v>
      </c>
      <c r="K13" s="25">
        <f>E13*Scenarios!$B$5</f>
        <v>12312000</v>
      </c>
      <c r="N13" s="24">
        <v>9</v>
      </c>
      <c r="O13" s="7">
        <f>I13*(1-Assumptions!$C$28)</f>
        <v>19904400</v>
      </c>
      <c r="P13" s="7">
        <f>J13*(1-Assumptions!$C$28)</f>
        <v>15923520</v>
      </c>
      <c r="Q13" s="25">
        <f>K13*(1-Assumptions!$C$28)</f>
        <v>11942640</v>
      </c>
    </row>
    <row r="14" spans="2:17">
      <c r="B14" s="24">
        <v>10</v>
      </c>
      <c r="C14" s="7">
        <f>MAX(Base_Value!$H$2*EXP(-Base_Value!$H$3*'Helping Table'!$B14),45%*Base_Value!$H$2)</f>
        <v>20520000</v>
      </c>
      <c r="D14" s="7">
        <f t="shared" si="0"/>
        <v>20520000</v>
      </c>
      <c r="E14" s="25">
        <f t="shared" si="1"/>
        <v>20520000</v>
      </c>
      <c r="H14" s="24">
        <v>10</v>
      </c>
      <c r="I14" s="7">
        <f>C14*Scenarios!$B$3</f>
        <v>20520000</v>
      </c>
      <c r="J14" s="7">
        <f>D14*Scenarios!$B$4</f>
        <v>16416000</v>
      </c>
      <c r="K14" s="25">
        <f>E14*Scenarios!$B$5</f>
        <v>12312000</v>
      </c>
      <c r="N14" s="24">
        <v>10</v>
      </c>
      <c r="O14" s="7">
        <f>I14*(1-Assumptions!$C$28)</f>
        <v>19904400</v>
      </c>
      <c r="P14" s="7">
        <f>J14*(1-Assumptions!$C$28)</f>
        <v>15923520</v>
      </c>
      <c r="Q14" s="25">
        <f>K14*(1-Assumptions!$C$28)</f>
        <v>11942640</v>
      </c>
    </row>
    <row r="15" spans="2:17">
      <c r="B15" s="24">
        <v>11</v>
      </c>
      <c r="C15" s="7">
        <f>MAX(Base_Value!$H$2*EXP(-Base_Value!$H$3*'Helping Table'!$B15),45%*Base_Value!$H$2)</f>
        <v>20520000</v>
      </c>
      <c r="D15" s="7">
        <f t="shared" si="0"/>
        <v>20520000</v>
      </c>
      <c r="E15" s="25">
        <f t="shared" si="1"/>
        <v>20520000</v>
      </c>
      <c r="H15" s="24">
        <v>11</v>
      </c>
      <c r="I15" s="7">
        <f>C15*Scenarios!$B$3</f>
        <v>20520000</v>
      </c>
      <c r="J15" s="7">
        <f>D15*Scenarios!$B$4</f>
        <v>16416000</v>
      </c>
      <c r="K15" s="25">
        <f>E15*Scenarios!$B$5</f>
        <v>12312000</v>
      </c>
      <c r="N15" s="24">
        <v>11</v>
      </c>
      <c r="O15" s="7">
        <f>I15*(1-Assumptions!$C$28)</f>
        <v>19904400</v>
      </c>
      <c r="P15" s="7">
        <f>J15*(1-Assumptions!$C$28)</f>
        <v>15923520</v>
      </c>
      <c r="Q15" s="25">
        <f>K15*(1-Assumptions!$C$28)</f>
        <v>11942640</v>
      </c>
    </row>
    <row r="16" spans="2:17">
      <c r="B16" s="24">
        <v>12</v>
      </c>
      <c r="C16" s="7">
        <f>MAX(Base_Value!$H$2*EXP(-Base_Value!$H$3*'Helping Table'!$B16),45%*Base_Value!$H$2)</f>
        <v>20520000</v>
      </c>
      <c r="D16" s="7">
        <f t="shared" si="0"/>
        <v>20520000</v>
      </c>
      <c r="E16" s="25">
        <f t="shared" si="1"/>
        <v>20520000</v>
      </c>
      <c r="H16" s="24">
        <v>12</v>
      </c>
      <c r="I16" s="7">
        <f>C16*Scenarios!$B$3</f>
        <v>20520000</v>
      </c>
      <c r="J16" s="7">
        <f>D16*Scenarios!$B$4</f>
        <v>16416000</v>
      </c>
      <c r="K16" s="25">
        <f>E16*Scenarios!$B$5</f>
        <v>12312000</v>
      </c>
      <c r="N16" s="24">
        <v>12</v>
      </c>
      <c r="O16" s="7">
        <f>I16*(1-Assumptions!$C$28)</f>
        <v>19904400</v>
      </c>
      <c r="P16" s="7">
        <f>J16*(1-Assumptions!$C$28)</f>
        <v>15923520</v>
      </c>
      <c r="Q16" s="25">
        <f>K16*(1-Assumptions!$C$28)</f>
        <v>11942640</v>
      </c>
    </row>
    <row r="17" spans="2:17">
      <c r="B17" s="24">
        <v>13</v>
      </c>
      <c r="C17" s="7">
        <f>MAX(Base_Value!$H$2*EXP(-Base_Value!$H$3*'Helping Table'!$B17),45%*Base_Value!$H$2)</f>
        <v>20520000</v>
      </c>
      <c r="D17" s="7">
        <f t="shared" si="0"/>
        <v>20520000</v>
      </c>
      <c r="E17" s="25">
        <f t="shared" si="1"/>
        <v>20520000</v>
      </c>
      <c r="H17" s="24">
        <v>13</v>
      </c>
      <c r="I17" s="7">
        <f>C17*Scenarios!$B$3</f>
        <v>20520000</v>
      </c>
      <c r="J17" s="7">
        <f>D17*Scenarios!$B$4</f>
        <v>16416000</v>
      </c>
      <c r="K17" s="25">
        <f>E17*Scenarios!$B$5</f>
        <v>12312000</v>
      </c>
      <c r="N17" s="24">
        <v>13</v>
      </c>
      <c r="O17" s="7">
        <f>I17*(1-Assumptions!$C$28)</f>
        <v>19904400</v>
      </c>
      <c r="P17" s="7">
        <f>J17*(1-Assumptions!$C$28)</f>
        <v>15923520</v>
      </c>
      <c r="Q17" s="25">
        <f>K17*(1-Assumptions!$C$28)</f>
        <v>11942640</v>
      </c>
    </row>
    <row r="18" spans="2:17">
      <c r="B18" s="24">
        <v>14</v>
      </c>
      <c r="C18" s="7">
        <f>MAX(Base_Value!$H$2*EXP(-Base_Value!$H$3*'Helping Table'!$B18),45%*Base_Value!$H$2)</f>
        <v>20520000</v>
      </c>
      <c r="D18" s="7">
        <f t="shared" si="0"/>
        <v>20520000</v>
      </c>
      <c r="E18" s="25">
        <f t="shared" si="1"/>
        <v>20520000</v>
      </c>
      <c r="H18" s="24">
        <v>14</v>
      </c>
      <c r="I18" s="7">
        <f>C18*Scenarios!$B$3</f>
        <v>20520000</v>
      </c>
      <c r="J18" s="7">
        <f>D18*Scenarios!$B$4</f>
        <v>16416000</v>
      </c>
      <c r="K18" s="25">
        <f>E18*Scenarios!$B$5</f>
        <v>12312000</v>
      </c>
      <c r="N18" s="24">
        <v>14</v>
      </c>
      <c r="O18" s="7">
        <f>I18*(1-Assumptions!$C$28)</f>
        <v>19904400</v>
      </c>
      <c r="P18" s="7">
        <f>J18*(1-Assumptions!$C$28)</f>
        <v>15923520</v>
      </c>
      <c r="Q18" s="25">
        <f>K18*(1-Assumptions!$C$28)</f>
        <v>11942640</v>
      </c>
    </row>
    <row r="19" spans="2:17">
      <c r="B19" s="24">
        <v>15</v>
      </c>
      <c r="C19" s="7">
        <f>MAX(Base_Value!$H$2*EXP(-Base_Value!$H$3*'Helping Table'!$B19),45%*Base_Value!$H$2)</f>
        <v>20520000</v>
      </c>
      <c r="D19" s="7">
        <f t="shared" si="0"/>
        <v>20520000</v>
      </c>
      <c r="E19" s="25">
        <f t="shared" si="1"/>
        <v>20520000</v>
      </c>
      <c r="H19" s="24">
        <v>15</v>
      </c>
      <c r="I19" s="7">
        <f>C19*Scenarios!$B$3</f>
        <v>20520000</v>
      </c>
      <c r="J19" s="7">
        <f>D19*Scenarios!$B$4</f>
        <v>16416000</v>
      </c>
      <c r="K19" s="25">
        <f>E19*Scenarios!$B$5</f>
        <v>12312000</v>
      </c>
      <c r="N19" s="24">
        <v>15</v>
      </c>
      <c r="O19" s="7">
        <f>I19*(1-Assumptions!$C$28)</f>
        <v>19904400</v>
      </c>
      <c r="P19" s="7">
        <f>J19*(1-Assumptions!$C$28)</f>
        <v>15923520</v>
      </c>
      <c r="Q19" s="25">
        <f>K19*(1-Assumptions!$C$28)</f>
        <v>11942640</v>
      </c>
    </row>
    <row r="20" spans="2:17">
      <c r="B20" s="24">
        <v>16</v>
      </c>
      <c r="C20" s="7">
        <f>MAX(Base_Value!$H$2*EXP(-Base_Value!$H$3*'Helping Table'!$B20),45%*Base_Value!$H$2)</f>
        <v>20520000</v>
      </c>
      <c r="D20" s="7">
        <f t="shared" si="0"/>
        <v>20520000</v>
      </c>
      <c r="E20" s="25">
        <f t="shared" si="1"/>
        <v>20520000</v>
      </c>
      <c r="H20" s="24">
        <v>16</v>
      </c>
      <c r="I20" s="7">
        <f>C20*Scenarios!$B$3</f>
        <v>20520000</v>
      </c>
      <c r="J20" s="7">
        <f>D20*Scenarios!$B$4</f>
        <v>16416000</v>
      </c>
      <c r="K20" s="25">
        <f>E20*Scenarios!$B$5</f>
        <v>12312000</v>
      </c>
      <c r="N20" s="24">
        <v>16</v>
      </c>
      <c r="O20" s="7">
        <f>I20*(1-Assumptions!$C$28)</f>
        <v>19904400</v>
      </c>
      <c r="P20" s="7">
        <f>J20*(1-Assumptions!$C$28)</f>
        <v>15923520</v>
      </c>
      <c r="Q20" s="25">
        <f>K20*(1-Assumptions!$C$28)</f>
        <v>11942640</v>
      </c>
    </row>
    <row r="21" spans="2:17">
      <c r="B21" s="24">
        <v>17</v>
      </c>
      <c r="C21" s="7">
        <f>MAX(Base_Value!$H$2*EXP(-Base_Value!$H$3*'Helping Table'!$B21),45%*Base_Value!$H$2)</f>
        <v>20520000</v>
      </c>
      <c r="D21" s="7">
        <f t="shared" si="0"/>
        <v>20520000</v>
      </c>
      <c r="E21" s="25">
        <f t="shared" si="1"/>
        <v>20520000</v>
      </c>
      <c r="H21" s="24">
        <v>17</v>
      </c>
      <c r="I21" s="7">
        <f>C21*Scenarios!$B$3</f>
        <v>20520000</v>
      </c>
      <c r="J21" s="7">
        <f>D21*Scenarios!$B$4</f>
        <v>16416000</v>
      </c>
      <c r="K21" s="25">
        <f>E21*Scenarios!$B$5</f>
        <v>12312000</v>
      </c>
      <c r="N21" s="24">
        <v>17</v>
      </c>
      <c r="O21" s="7">
        <f>I21*(1-Assumptions!$C$28)</f>
        <v>19904400</v>
      </c>
      <c r="P21" s="7">
        <f>J21*(1-Assumptions!$C$28)</f>
        <v>15923520</v>
      </c>
      <c r="Q21" s="25">
        <f>K21*(1-Assumptions!$C$28)</f>
        <v>11942640</v>
      </c>
    </row>
    <row r="22" spans="2:17">
      <c r="B22" s="24">
        <v>18</v>
      </c>
      <c r="C22" s="7">
        <f>MAX(Base_Value!$H$2*EXP(-Base_Value!$H$3*'Helping Table'!$B22),45%*Base_Value!$H$2)</f>
        <v>20520000</v>
      </c>
      <c r="D22" s="7">
        <f t="shared" si="0"/>
        <v>20520000</v>
      </c>
      <c r="E22" s="25">
        <f t="shared" si="1"/>
        <v>20520000</v>
      </c>
      <c r="H22" s="24">
        <v>18</v>
      </c>
      <c r="I22" s="7">
        <f>C22*Scenarios!$B$3</f>
        <v>20520000</v>
      </c>
      <c r="J22" s="7">
        <f>D22*Scenarios!$B$4</f>
        <v>16416000</v>
      </c>
      <c r="K22" s="25">
        <f>E22*Scenarios!$B$5</f>
        <v>12312000</v>
      </c>
      <c r="N22" s="24">
        <v>18</v>
      </c>
      <c r="O22" s="7">
        <f>I22*(1-Assumptions!$C$28)</f>
        <v>19904400</v>
      </c>
      <c r="P22" s="7">
        <f>J22*(1-Assumptions!$C$28)</f>
        <v>15923520</v>
      </c>
      <c r="Q22" s="25">
        <f>K22*(1-Assumptions!$C$28)</f>
        <v>11942640</v>
      </c>
    </row>
    <row r="23" spans="2:17">
      <c r="B23" s="24">
        <v>19</v>
      </c>
      <c r="C23" s="7">
        <f>MAX(Base_Value!$H$2*EXP(-Base_Value!$H$3*'Helping Table'!$B23),45%*Base_Value!$H$2)</f>
        <v>20520000</v>
      </c>
      <c r="D23" s="7">
        <f t="shared" si="0"/>
        <v>20520000</v>
      </c>
      <c r="E23" s="25">
        <f t="shared" si="1"/>
        <v>20520000</v>
      </c>
      <c r="H23" s="24">
        <v>19</v>
      </c>
      <c r="I23" s="7">
        <f>C23*Scenarios!$B$3</f>
        <v>20520000</v>
      </c>
      <c r="J23" s="7">
        <f>D23*Scenarios!$B$4</f>
        <v>16416000</v>
      </c>
      <c r="K23" s="25">
        <f>E23*Scenarios!$B$5</f>
        <v>12312000</v>
      </c>
      <c r="N23" s="24">
        <v>19</v>
      </c>
      <c r="O23" s="7">
        <f>I23*(1-Assumptions!$C$28)</f>
        <v>19904400</v>
      </c>
      <c r="P23" s="7">
        <f>J23*(1-Assumptions!$C$28)</f>
        <v>15923520</v>
      </c>
      <c r="Q23" s="25">
        <f>K23*(1-Assumptions!$C$28)</f>
        <v>11942640</v>
      </c>
    </row>
    <row r="24" spans="2:17">
      <c r="B24" s="24">
        <v>20</v>
      </c>
      <c r="C24" s="7">
        <f>MAX(Base_Value!$H$2*EXP(-Base_Value!$H$3*'Helping Table'!$B24),45%*Base_Value!$H$2)</f>
        <v>20520000</v>
      </c>
      <c r="D24" s="7">
        <f t="shared" si="0"/>
        <v>20520000</v>
      </c>
      <c r="E24" s="25">
        <f t="shared" si="1"/>
        <v>20520000</v>
      </c>
      <c r="H24" s="24">
        <v>20</v>
      </c>
      <c r="I24" s="7">
        <f>C24*Scenarios!$B$3</f>
        <v>20520000</v>
      </c>
      <c r="J24" s="7">
        <f>D24*Scenarios!$B$4</f>
        <v>16416000</v>
      </c>
      <c r="K24" s="25">
        <f>E24*Scenarios!$B$5</f>
        <v>12312000</v>
      </c>
      <c r="N24" s="24">
        <v>20</v>
      </c>
      <c r="O24" s="7">
        <f>I24*(1-Assumptions!$C$28)</f>
        <v>19904400</v>
      </c>
      <c r="P24" s="7">
        <f>J24*(1-Assumptions!$C$28)</f>
        <v>15923520</v>
      </c>
      <c r="Q24" s="25">
        <f>K24*(1-Assumptions!$C$28)</f>
        <v>11942640</v>
      </c>
    </row>
    <row r="25" spans="2:17">
      <c r="B25" s="24">
        <v>21</v>
      </c>
      <c r="C25" s="7">
        <f>MAX(Base_Value!$H$2*EXP(-Base_Value!$H$3*'Helping Table'!$B25),45%*Base_Value!$H$2)</f>
        <v>20520000</v>
      </c>
      <c r="D25" s="7">
        <f t="shared" si="0"/>
        <v>20520000</v>
      </c>
      <c r="E25" s="25">
        <f t="shared" si="1"/>
        <v>20520000</v>
      </c>
      <c r="H25" s="24">
        <v>21</v>
      </c>
      <c r="I25" s="7">
        <f>C25*Scenarios!$B$3</f>
        <v>20520000</v>
      </c>
      <c r="J25" s="7">
        <f>D25*Scenarios!$B$4</f>
        <v>16416000</v>
      </c>
      <c r="K25" s="25">
        <f>E25*Scenarios!$B$5</f>
        <v>12312000</v>
      </c>
      <c r="N25" s="24">
        <v>21</v>
      </c>
      <c r="O25" s="7">
        <f>I25*(1-Assumptions!$C$28)</f>
        <v>19904400</v>
      </c>
      <c r="P25" s="7">
        <f>J25*(1-Assumptions!$C$28)</f>
        <v>15923520</v>
      </c>
      <c r="Q25" s="25">
        <f>K25*(1-Assumptions!$C$28)</f>
        <v>11942640</v>
      </c>
    </row>
    <row r="26" spans="2:17">
      <c r="B26" s="24">
        <v>22</v>
      </c>
      <c r="C26" s="7">
        <f>MAX(Base_Value!$H$2*EXP(-Base_Value!$H$3*'Helping Table'!$B26),45%*Base_Value!$H$2)</f>
        <v>20520000</v>
      </c>
      <c r="D26" s="7">
        <f t="shared" si="0"/>
        <v>20520000</v>
      </c>
      <c r="E26" s="25">
        <f t="shared" si="1"/>
        <v>20520000</v>
      </c>
      <c r="H26" s="24">
        <v>22</v>
      </c>
      <c r="I26" s="7">
        <f>C26*Scenarios!$B$3</f>
        <v>20520000</v>
      </c>
      <c r="J26" s="7">
        <f>D26*Scenarios!$B$4</f>
        <v>16416000</v>
      </c>
      <c r="K26" s="25">
        <f>E26*Scenarios!$B$5</f>
        <v>12312000</v>
      </c>
      <c r="N26" s="24">
        <v>22</v>
      </c>
      <c r="O26" s="7">
        <f>I26*(1-Assumptions!$C$28)</f>
        <v>19904400</v>
      </c>
      <c r="P26" s="7">
        <f>J26*(1-Assumptions!$C$28)</f>
        <v>15923520</v>
      </c>
      <c r="Q26" s="25">
        <f>K26*(1-Assumptions!$C$28)</f>
        <v>11942640</v>
      </c>
    </row>
    <row r="27" spans="2:17">
      <c r="B27" s="24">
        <v>23</v>
      </c>
      <c r="C27" s="7">
        <f>MAX(Base_Value!$H$2*EXP(-Base_Value!$H$3*'Helping Table'!$B27),45%*Base_Value!$H$2)</f>
        <v>20520000</v>
      </c>
      <c r="D27" s="7">
        <f t="shared" si="0"/>
        <v>20520000</v>
      </c>
      <c r="E27" s="25">
        <f t="shared" si="1"/>
        <v>20520000</v>
      </c>
      <c r="H27" s="24">
        <v>23</v>
      </c>
      <c r="I27" s="7">
        <f>C27*Scenarios!$B$3</f>
        <v>20520000</v>
      </c>
      <c r="J27" s="7">
        <f>D27*Scenarios!$B$4</f>
        <v>16416000</v>
      </c>
      <c r="K27" s="25">
        <f>E27*Scenarios!$B$5</f>
        <v>12312000</v>
      </c>
      <c r="N27" s="24">
        <v>23</v>
      </c>
      <c r="O27" s="7">
        <f>I27*(1-Assumptions!$C$28)</f>
        <v>19904400</v>
      </c>
      <c r="P27" s="7">
        <f>J27*(1-Assumptions!$C$28)</f>
        <v>15923520</v>
      </c>
      <c r="Q27" s="25">
        <f>K27*(1-Assumptions!$C$28)</f>
        <v>11942640</v>
      </c>
    </row>
    <row r="28" spans="2:17">
      <c r="B28" s="24">
        <v>24</v>
      </c>
      <c r="C28" s="7">
        <f>MAX(Base_Value!$H$2*EXP(-Base_Value!$H$3*'Helping Table'!$B28),45%*Base_Value!$H$2)</f>
        <v>20520000</v>
      </c>
      <c r="D28" s="7">
        <f t="shared" si="0"/>
        <v>20520000</v>
      </c>
      <c r="E28" s="25">
        <f t="shared" si="1"/>
        <v>20520000</v>
      </c>
      <c r="H28" s="24">
        <v>24</v>
      </c>
      <c r="I28" s="7">
        <f>C28*Scenarios!$B$3</f>
        <v>20520000</v>
      </c>
      <c r="J28" s="7">
        <f>D28*Scenarios!$B$4</f>
        <v>16416000</v>
      </c>
      <c r="K28" s="25">
        <f>E28*Scenarios!$B$5</f>
        <v>12312000</v>
      </c>
      <c r="N28" s="24">
        <v>24</v>
      </c>
      <c r="O28" s="7">
        <f>I28*(1-Assumptions!$C$28)</f>
        <v>19904400</v>
      </c>
      <c r="P28" s="7">
        <f>J28*(1-Assumptions!$C$28)</f>
        <v>15923520</v>
      </c>
      <c r="Q28" s="25">
        <f>K28*(1-Assumptions!$C$28)</f>
        <v>11942640</v>
      </c>
    </row>
    <row r="29" spans="2:17">
      <c r="B29" s="26">
        <v>25</v>
      </c>
      <c r="C29" s="27">
        <f>MAX(Base_Value!$H$2*EXP(-Base_Value!$H$3*'Helping Table'!$B29),45%*Base_Value!$H$2)</f>
        <v>20520000</v>
      </c>
      <c r="D29" s="27">
        <f t="shared" si="0"/>
        <v>20520000</v>
      </c>
      <c r="E29" s="28">
        <f t="shared" si="1"/>
        <v>20520000</v>
      </c>
      <c r="H29" s="26">
        <v>25</v>
      </c>
      <c r="I29" s="27">
        <f>C29*Scenarios!$B$3</f>
        <v>20520000</v>
      </c>
      <c r="J29" s="27">
        <f>D29*Scenarios!$B$4</f>
        <v>16416000</v>
      </c>
      <c r="K29" s="28">
        <f>E29*Scenarios!$B$5</f>
        <v>12312000</v>
      </c>
      <c r="N29" s="26">
        <v>25</v>
      </c>
      <c r="O29" s="27">
        <f>I29*(1-Assumptions!$C$28)</f>
        <v>19904400</v>
      </c>
      <c r="P29" s="27">
        <f>J29*(1-Assumptions!$C$28)</f>
        <v>15923520</v>
      </c>
      <c r="Q29" s="28">
        <f>K29*(1-Assumptions!$C$28)</f>
        <v>11942640</v>
      </c>
    </row>
  </sheetData>
  <mergeCells count="3">
    <mergeCell ref="H2:K2"/>
    <mergeCell ref="B2:E2"/>
    <mergeCell ref="N2:Q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AB95-6A1B-4A7E-880A-D03B9B332067}">
  <sheetPr>
    <tabColor theme="5" tint="-0.499984740745262"/>
    <pageSetUpPr autoPageBreaks="0"/>
  </sheetPr>
  <dimension ref="A1:A76"/>
  <sheetViews>
    <sheetView showGridLines="0" workbookViewId="0">
      <selection activeCell="A11" sqref="A11"/>
    </sheetView>
  </sheetViews>
  <sheetFormatPr defaultColWidth="8.85546875" defaultRowHeight="15"/>
  <cols>
    <col min="1" max="1" width="84.28515625" customWidth="1"/>
  </cols>
  <sheetData>
    <row r="1" spans="1:1" s="106" customFormat="1" ht="23.25">
      <c r="A1" s="105" t="s">
        <v>172</v>
      </c>
    </row>
    <row r="2" spans="1:1" s="107" customFormat="1" ht="14.25"/>
    <row r="3" spans="1:1" s="107" customFormat="1" ht="15.75">
      <c r="A3" s="108" t="s">
        <v>173</v>
      </c>
    </row>
    <row r="4" spans="1:1" s="107" customFormat="1" ht="128.25">
      <c r="A4" s="109" t="s">
        <v>174</v>
      </c>
    </row>
    <row r="5" spans="1:1" s="107" customFormat="1" ht="14.25"/>
    <row r="6" spans="1:1" s="107" customFormat="1" ht="15.75">
      <c r="A6" s="108" t="s">
        <v>175</v>
      </c>
    </row>
    <row r="7" spans="1:1" s="107" customFormat="1" ht="99.75">
      <c r="A7" s="109" t="s">
        <v>176</v>
      </c>
    </row>
    <row r="8" spans="1:1" s="107" customFormat="1" ht="14.25"/>
    <row r="9" spans="1:1" s="107" customFormat="1" ht="15.75">
      <c r="A9" s="108" t="s">
        <v>177</v>
      </c>
    </row>
    <row r="10" spans="1:1" s="107" customFormat="1" ht="99.75">
      <c r="A10" s="109" t="s">
        <v>178</v>
      </c>
    </row>
    <row r="11" spans="1:1" s="107" customFormat="1" ht="14.25"/>
    <row r="12" spans="1:1" s="107" customFormat="1" ht="15.75">
      <c r="A12" s="108" t="s">
        <v>179</v>
      </c>
    </row>
    <row r="13" spans="1:1" s="107" customFormat="1" ht="85.5">
      <c r="A13" s="109" t="s">
        <v>180</v>
      </c>
    </row>
    <row r="14" spans="1:1" s="107" customFormat="1" ht="14.25"/>
    <row r="15" spans="1:1" s="107" customFormat="1" ht="15.75">
      <c r="A15" s="108" t="s">
        <v>181</v>
      </c>
    </row>
    <row r="16" spans="1:1" s="107" customFormat="1" ht="99.75">
      <c r="A16" s="109" t="s">
        <v>182</v>
      </c>
    </row>
    <row r="17" spans="1:1" s="107" customFormat="1" ht="14.25"/>
    <row r="18" spans="1:1" s="107" customFormat="1" ht="15.75">
      <c r="A18" s="108" t="s">
        <v>183</v>
      </c>
    </row>
    <row r="19" spans="1:1" s="107" customFormat="1" ht="99.75">
      <c r="A19" s="109" t="s">
        <v>184</v>
      </c>
    </row>
    <row r="20" spans="1:1" s="107" customFormat="1" ht="14.25"/>
    <row r="21" spans="1:1" s="107" customFormat="1" ht="15.75">
      <c r="A21" s="108" t="s">
        <v>185</v>
      </c>
    </row>
    <row r="22" spans="1:1" s="107" customFormat="1" ht="85.5">
      <c r="A22" s="109" t="s">
        <v>186</v>
      </c>
    </row>
    <row r="23" spans="1:1" s="107" customFormat="1" ht="14.25"/>
    <row r="24" spans="1:1" s="107" customFormat="1" ht="15.75">
      <c r="A24" s="108" t="s">
        <v>187</v>
      </c>
    </row>
    <row r="25" spans="1:1" s="107" customFormat="1" ht="99.75">
      <c r="A25" s="109" t="s">
        <v>188</v>
      </c>
    </row>
    <row r="26" spans="1:1" s="107" customFormat="1" ht="14.25"/>
    <row r="27" spans="1:1" s="107" customFormat="1" ht="15.75">
      <c r="A27" s="108" t="s">
        <v>189</v>
      </c>
    </row>
    <row r="28" spans="1:1" s="107" customFormat="1" ht="71.25">
      <c r="A28" s="109" t="s">
        <v>190</v>
      </c>
    </row>
    <row r="29" spans="1:1" s="107" customFormat="1" ht="14.25"/>
    <row r="30" spans="1:1" s="107" customFormat="1" ht="14.25"/>
    <row r="31" spans="1:1" s="107" customFormat="1" ht="14.25"/>
    <row r="32" spans="1:1" s="107" customFormat="1" ht="14.25"/>
    <row r="33" s="107" customFormat="1" ht="14.25"/>
    <row r="34" s="107" customFormat="1" ht="14.25"/>
    <row r="35" s="107" customFormat="1" ht="14.25"/>
    <row r="36" s="107" customFormat="1" ht="14.25"/>
    <row r="37" s="107" customFormat="1" ht="14.25"/>
    <row r="38" s="107" customFormat="1" ht="14.25"/>
    <row r="39" s="107" customFormat="1" ht="14.25"/>
    <row r="40" s="107" customFormat="1" ht="14.25"/>
    <row r="41" s="107" customFormat="1" ht="14.25"/>
    <row r="42" s="107" customFormat="1" ht="14.25"/>
    <row r="43" s="107" customFormat="1" ht="14.25"/>
    <row r="44" s="107" customFormat="1" ht="14.25"/>
    <row r="45" s="107" customFormat="1" ht="14.25"/>
    <row r="46" s="107" customFormat="1" ht="14.25"/>
    <row r="47" s="107" customFormat="1" ht="14.25"/>
    <row r="48" s="107" customFormat="1" ht="14.25"/>
    <row r="49" s="107" customFormat="1" ht="14.25"/>
    <row r="50" s="107" customFormat="1" ht="14.25"/>
    <row r="51" s="107" customFormat="1" ht="14.25"/>
    <row r="52" s="107" customFormat="1" ht="14.25"/>
    <row r="53" s="107" customFormat="1" ht="14.25"/>
    <row r="54" s="107" customFormat="1" ht="14.25"/>
    <row r="55" s="107" customFormat="1" ht="14.25"/>
    <row r="56" s="107" customFormat="1" ht="14.25"/>
    <row r="57" s="107" customFormat="1" ht="14.25"/>
    <row r="58" s="107" customFormat="1" ht="14.25"/>
    <row r="59" s="107" customFormat="1" ht="14.25"/>
    <row r="60" s="107" customFormat="1" ht="14.25"/>
    <row r="61" s="107" customFormat="1" ht="14.25"/>
    <row r="62" s="107" customFormat="1" ht="14.25"/>
    <row r="63" s="107" customFormat="1" ht="14.25"/>
    <row r="64" s="107" customFormat="1" ht="14.25"/>
    <row r="65" s="107" customFormat="1" ht="14.25"/>
    <row r="66" s="107" customFormat="1" ht="14.25"/>
    <row r="67" s="107" customFormat="1" ht="14.25"/>
    <row r="68" s="107" customFormat="1" ht="14.25"/>
    <row r="69" s="107" customFormat="1" ht="14.25"/>
    <row r="70" s="107" customFormat="1" ht="14.25"/>
    <row r="71" s="107" customFormat="1" ht="14.25"/>
    <row r="72" s="107" customFormat="1" ht="14.25"/>
    <row r="73" s="107" customFormat="1" ht="14.25"/>
    <row r="74" s="107" customFormat="1" ht="14.25"/>
    <row r="75" s="107" customFormat="1" ht="14.25"/>
    <row r="76" s="107" customFormat="1" ht="14.25"/>
  </sheetData>
  <printOptions horizontalCentered="1"/>
  <pageMargins left="0.74803149606299213" right="0.74803149606299213" top="0.98425196850393704" bottom="0.98425196850393704" header="0.51181102362204722" footer="0.51181102362204722"/>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Assumptions</vt:lpstr>
      <vt:lpstr>Sensitivity Tables</vt:lpstr>
      <vt:lpstr>Scenarios</vt:lpstr>
      <vt:lpstr>Base_Value</vt:lpstr>
      <vt:lpstr>Market_Value</vt:lpstr>
      <vt:lpstr>LRF-Model</vt:lpstr>
      <vt:lpstr>Cashflow</vt:lpstr>
      <vt:lpstr>WACC</vt:lpstr>
      <vt:lpstr>DCF</vt:lpstr>
      <vt:lpstr>Summary</vt:lpstr>
      <vt:lpstr>Graphs</vt:lpstr>
      <vt:lpstr>Helping Table</vt:lpstr>
      <vt:lpstr>Valuation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V.Kulkarni@onpoint-advisory.co.uk</dc:creator>
  <cp:lastModifiedBy>Vajra Kulkarni</cp:lastModifiedBy>
  <cp:lastPrinted>2025-12-20T13:54:37Z</cp:lastPrinted>
  <dcterms:created xsi:type="dcterms:W3CDTF">2025-12-14T07:58:53Z</dcterms:created>
  <dcterms:modified xsi:type="dcterms:W3CDTF">2025-12-22T07:27:37Z</dcterms:modified>
</cp:coreProperties>
</file>